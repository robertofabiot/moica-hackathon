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5fb91bf6248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52f5a0bd64d4fdb"/>
    <x:sheet xmlns:r="http://schemas.openxmlformats.org/officeDocument/2006/relationships" name="Decisiones" sheetId="2" r:id="R6c1a8c2d36344c09"/>
    <x:sheet xmlns:r="http://schemas.openxmlformats.org/officeDocument/2006/relationships" name="Dominios" sheetId="3" r:id="R8fdfcf125ff2474a"/>
    <x:sheet xmlns:r="http://schemas.openxmlformats.org/officeDocument/2006/relationships" name="Usuario" sheetId="4" r:id="R42bcced175f44f2b"/>
    <x:sheet xmlns:r="http://schemas.openxmlformats.org/officeDocument/2006/relationships" name="Administrador" sheetId="5" r:id="R0537b75afd12425c"/>
    <x:sheet xmlns:r="http://schemas.openxmlformats.org/officeDocument/2006/relationships" name="Departamento" sheetId="6" r:id="R666282f759c94be3"/>
    <x:sheet xmlns:r="http://schemas.openxmlformats.org/officeDocument/2006/relationships" name="Municipio" sheetId="7" r:id="R324c046e9e1a4587"/>
    <x:sheet xmlns:r="http://schemas.openxmlformats.org/officeDocument/2006/relationships" name="PerfilPrestador" sheetId="8" r:id="R6541d8593c364b38"/>
    <x:sheet xmlns:r="http://schemas.openxmlformats.org/officeDocument/2006/relationships" name="MedioContactoPrestador" sheetId="9" r:id="R36dc6f8f465b49f4"/>
    <x:sheet xmlns:r="http://schemas.openxmlformats.org/officeDocument/2006/relationships" name="TrabajoPortafolio" sheetId="10" r:id="R46d53dcacb644225"/>
    <x:sheet xmlns:r="http://schemas.openxmlformats.org/officeDocument/2006/relationships" name="ImagenTrabajoPortafolio" sheetId="11" r:id="Rce742496ed494a04"/>
    <x:sheet xmlns:r="http://schemas.openxmlformats.org/officeDocument/2006/relationships" name="CategoriaServicio" sheetId="12" r:id="R0bb38d1c59f741cf"/>
    <x:sheet xmlns:r="http://schemas.openxmlformats.org/officeDocument/2006/relationships" name="SubcategoriaServicio" sheetId="13" r:id="R5ce2f0982fac4a95"/>
    <x:sheet xmlns:r="http://schemas.openxmlformats.org/officeDocument/2006/relationships" name="ServicioPublicado" sheetId="14" r:id="Re4ca3a9d47f1428e"/>
    <x:sheet xmlns:r="http://schemas.openxmlformats.org/officeDocument/2006/relationships" name="ImagenServicioPublicado" sheetId="15" r:id="R9b831046f73540c4"/>
    <x:sheet xmlns:r="http://schemas.openxmlformats.org/officeDocument/2006/relationships" name="SolicitudServicio" sheetId="16" r:id="Rc019fa75bd084f97"/>
    <x:sheet xmlns:r="http://schemas.openxmlformats.org/officeDocument/2006/relationships" name="CambioEstadoSolicitud" sheetId="17" r:id="R02cf4fadb00a4278"/>
    <x:sheet xmlns:r="http://schemas.openxmlformats.org/officeDocument/2006/relationships" name="MensajeSolicitud" sheetId="18" r:id="R0e47c81e8bfb41ac"/>
    <x:sheet xmlns:r="http://schemas.openxmlformats.org/officeDocument/2006/relationships" name="CalificacionUsuario" sheetId="19" r:id="R63efc10b14624c3b"/>
    <x:sheet xmlns:r="http://schemas.openxmlformats.org/officeDocument/2006/relationships" name="ReporteUsuario" sheetId="20" r:id="R69e60abaedc64b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D6D64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color rgb="FF203028"/>
      <x:name val="Carlito"/>
    </x:font>
    <x:font>
      <x:b/>
      <x:sz val="9"/>
      <x:color rgb="FF203028"/>
      <x:name val="Carlito"/>
    </x:font>
    <x:font>
      <x:i/>
      <x:sz val="9"/>
      <x:color rgb="FF203028"/>
      <x:name val="Carlito"/>
    </x:font>
    <x:font>
      <x:b/>
      <x:sz val="12"/>
      <x:color rgb="FF2E7D32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73F2A"/>
      </x:patternFill>
    </x:fill>
    <x:fill>
      <x:patternFill patternType="solid">
        <x:fgColor rgb="FFEAF6EC"/>
      </x:patternFill>
    </x:fill>
    <x:fill>
      <x:patternFill patternType="solid">
        <x:fgColor rgb="FF2E7D32"/>
      </x:patternFill>
    </x:fill>
    <x:fill>
      <x:patternFill patternType="solid">
        <x:fgColor rgb="FFF6FBF7"/>
      </x:patternFill>
    </x:fill>
    <x:fill>
      <x:patternFill patternType="solid">
        <x:fgColor rgb="FFF3F5F4"/>
      </x:patternFill>
    </x:fill>
    <x:fill>
      <x:patternFill patternType="solid">
        <x:fgColor rgb="FFFFF4CC"/>
      </x:patternFill>
    </x:fill>
    <x:fill>
      <x:patternFill patternType="solid">
        <x:fgColor rgb="FF1565C0"/>
      </x:patternFill>
    </x:fill>
    <x:fill>
      <x:patternFill patternType="solid">
        <x:fgColor rgb="FF00897B"/>
      </x:patternFill>
    </x:fill>
    <x:fill>
      <x:patternFill patternType="solid">
        <x:fgColor rgb="FF7B1FA2"/>
      </x:patternFill>
    </x:fill>
    <x:fill>
      <x:patternFill patternType="solid">
        <x:fgColor rgb="FFEF6C00"/>
      </x:patternFill>
    </x:fill>
    <x:fill>
      <x:patternFill patternType="solid">
        <x:fgColor rgb="FFC62828"/>
      </x:patternFill>
    </x:fill>
    <x:fill>
      <x:patternFill patternType="solid">
        <x:fgColor rgb="FF2E7D32"/>
      </x:patternFill>
    </x:fill>
    <x:fill>
      <x:patternFill patternType="solid">
        <x:fgColor rgb="FF1565C0"/>
      </x:patternFill>
    </x:fill>
    <x:fill>
      <x:patternFill patternType="solid">
        <x:fgColor rgb="FF00897B"/>
      </x:patternFill>
    </x:fill>
    <x:fill>
      <x:patternFill patternType="solid">
        <x:fgColor rgb="FF7B1FA2"/>
      </x:patternFill>
    </x:fill>
    <x:fill>
      <x:patternFill patternType="solid">
        <x:fgColor rgb="FFEF6C00"/>
      </x:patternFill>
    </x:fill>
    <x:fill>
      <x:patternFill patternType="solid">
        <x:fgColor rgb="FFC62828"/>
      </x:patternFill>
    </x:fill>
  </x:fills>
  <x:borders count="6">
    <x:border/>
    <x:border>
      <x:left style="thin">
        <x:color rgb="FFC7D8CC"/>
      </x:left>
      <x:right style="thin">
        <x:color rgb="FFC7D8CC"/>
      </x:right>
      <x:top style="thin">
        <x:color rgb="FFC7D8CC"/>
      </x:top>
      <x:bottom style="thin">
        <x:color rgb="FFC7D8CC"/>
      </x:bottom>
    </x:border>
    <x:border>
      <x:bottom style="thin">
        <x:color rgb="FFC7D8CC"/>
      </x:bottom>
    </x:border>
    <x:border>
      <x:top style="thin">
        <x:color rgb="FFC7D8CC"/>
      </x:top>
      <x:bottom style="thin">
        <x:color rgb="FFC7D8CC"/>
      </x:bottom>
    </x:border>
    <x:border>
      <x:left style="thin">
        <x:color rgb="FFC7D8CC"/>
      </x:left>
      <x:top style="thin">
        <x:color rgb="FFC7D8CC"/>
      </x:top>
      <x:bottom style="thin">
        <x:color rgb="FFC7D8CC"/>
      </x:bottom>
    </x:border>
    <x:border>
      <x:right style="thin">
        <x:color rgb="FFC7D8CC"/>
      </x:right>
      <x:top style="thin">
        <x:color rgb="FFC7D8CC"/>
      </x:top>
      <x:bottom style="thin">
        <x:color rgb="FFC7D8CC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4" xfId="0" applyNumberFormat="1" applyFont="1" applyFill="1" applyBorder="1" applyAlignment="1">
      <x:alignment horizontal="center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3" xfId="0" applyNumberFormat="1" applyFont="1" applyFill="1" applyBorder="1"/>
    <x:xf numFmtId="0" fontId="7" fillId="7" borderId="5" xfId="0" applyNumberFormat="1" applyFont="1" applyFill="1" applyBorder="1"/>
    <x:xf numFmtId="0" fontId="7" fillId="7" borderId="4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5" xfId="0" applyNumberFormat="1" applyFont="1" applyFill="1" applyBorder="1" applyAlignment="1">
      <x:alignment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horizont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horizontal="center" wrapText="1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1" xfId="0" applyNumberFormat="1" applyFont="1" applyFill="1" applyBorder="1"/>
    <x:xf numFmtId="0" fontId="4" fillId="12" borderId="1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horizont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13" borderId="2" xfId="0" applyNumberFormat="1" applyFont="1" applyFill="1" applyBorder="1" applyAlignment="1">
      <x:alignment vertical="center" wrapText="1"/>
    </x:xf>
    <x:xf numFmtId="0" fontId="5" fillId="13" borderId="3" xfId="0" applyNumberFormat="1" applyFont="1" applyFill="1" applyBorder="1" applyAlignment="1">
      <x:alignment vertical="center" wrapText="1"/>
    </x:xf>
    <x:xf numFmtId="0" fontId="5" fillId="14" borderId="3" xfId="0" applyNumberFormat="1" applyFont="1" applyFill="1" applyBorder="1" applyAlignment="1">
      <x:alignment vertical="center" wrapText="1"/>
    </x:xf>
    <x:xf numFmtId="0" fontId="5" fillId="15" borderId="3" xfId="0" applyNumberFormat="1" applyFont="1" applyFill="1" applyBorder="1" applyAlignment="1">
      <x:alignment vertical="center" wrapText="1"/>
    </x:xf>
    <x:xf numFmtId="0" fontId="5" fillId="16" borderId="3" xfId="0" applyNumberFormat="1" applyFont="1" applyFill="1" applyBorder="1" applyAlignment="1">
      <x:alignment vertical="center" wrapText="1"/>
    </x:xf>
    <x:xf numFmtId="0" fontId="5" fillId="17" borderId="3" xfId="0" applyNumberFormat="1" applyFont="1" applyFill="1" applyBorder="1" applyAlignment="1">
      <x:alignment vertical="center" wrapText="1"/>
    </x:xf>
    <x:xf numFmtId="0" fontId="5" fillId="18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95dae4214a45a0" /><Relationship Type="http://schemas.openxmlformats.org/officeDocument/2006/relationships/theme" Target="/xl/theme/theme1.xml" Id="R879bfc0817984d82" /><Relationship Type="http://schemas.openxmlformats.org/officeDocument/2006/relationships/sharedStrings" Target="/xl/sharedStrings.xml" Id="Ref77a9d155cc4caf" /><Relationship Type="http://schemas.openxmlformats.org/officeDocument/2006/relationships/worksheet" Target="/xl/worksheets/sheet1.xml" Id="R152f5a0bd64d4fdb" /><Relationship Type="http://schemas.openxmlformats.org/officeDocument/2006/relationships/worksheet" Target="/xl/worksheets/sheet2.xml" Id="R6c1a8c2d36344c09" /><Relationship Type="http://schemas.openxmlformats.org/officeDocument/2006/relationships/worksheet" Target="/xl/worksheets/sheet3.xml" Id="R8fdfcf125ff2474a" /><Relationship Type="http://schemas.openxmlformats.org/officeDocument/2006/relationships/worksheet" Target="/xl/worksheets/sheet4.xml" Id="R42bcced175f44f2b" /><Relationship Type="http://schemas.openxmlformats.org/officeDocument/2006/relationships/worksheet" Target="/xl/worksheets/sheet5.xml" Id="R0537b75afd12425c" /><Relationship Type="http://schemas.openxmlformats.org/officeDocument/2006/relationships/worksheet" Target="/xl/worksheets/sheet6.xml" Id="R666282f759c94be3" /><Relationship Type="http://schemas.openxmlformats.org/officeDocument/2006/relationships/worksheet" Target="/xl/worksheets/sheet7.xml" Id="R324c046e9e1a4587" /><Relationship Type="http://schemas.openxmlformats.org/officeDocument/2006/relationships/worksheet" Target="/xl/worksheets/sheet8.xml" Id="R6541d8593c364b38" /><Relationship Type="http://schemas.openxmlformats.org/officeDocument/2006/relationships/worksheet" Target="/xl/worksheets/sheet9.xml" Id="R36dc6f8f465b49f4" /><Relationship Type="http://schemas.openxmlformats.org/officeDocument/2006/relationships/worksheet" Target="/xl/worksheets/sheet10.xml" Id="R46d53dcacb644225" /><Relationship Type="http://schemas.openxmlformats.org/officeDocument/2006/relationships/worksheet" Target="/xl/worksheets/sheet11.xml" Id="Rce742496ed494a04" /><Relationship Type="http://schemas.openxmlformats.org/officeDocument/2006/relationships/worksheet" Target="/xl/worksheets/sheet12.xml" Id="R0bb38d1c59f741cf" /><Relationship Type="http://schemas.openxmlformats.org/officeDocument/2006/relationships/worksheet" Target="/xl/worksheets/sheet13.xml" Id="R5ce2f0982fac4a95" /><Relationship Type="http://schemas.openxmlformats.org/officeDocument/2006/relationships/worksheet" Target="/xl/worksheets/sheet14.xml" Id="Re4ca3a9d47f1428e" /><Relationship Type="http://schemas.openxmlformats.org/officeDocument/2006/relationships/worksheet" Target="/xl/worksheets/sheet15.xml" Id="R9b831046f73540c4" /><Relationship Type="http://schemas.openxmlformats.org/officeDocument/2006/relationships/worksheet" Target="/xl/worksheets/sheet16.xml" Id="Rc019fa75bd084f97" /><Relationship Type="http://schemas.openxmlformats.org/officeDocument/2006/relationships/worksheet" Target="/xl/worksheets/sheet17.xml" Id="R02cf4fadb00a4278" /><Relationship Type="http://schemas.openxmlformats.org/officeDocument/2006/relationships/worksheet" Target="/xl/worksheets/sheet18.xml" Id="R0e47c81e8bfb41ac" /><Relationship Type="http://schemas.openxmlformats.org/officeDocument/2006/relationships/worksheet" Target="/xl/worksheets/sheet19.xml" Id="R63efc10b14624c3b" /><Relationship Type="http://schemas.openxmlformats.org/officeDocument/2006/relationships/worksheet" Target="/xl/worksheets/sheet20.xml" Id="R69e60abaedc64b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62" hidden="0" customWidth="1"/>
    <x:col min="4" max="4" width="25" hidden="0" customWidth="1"/>
    <x:col min="5" max="5" width="13" hidden="0" customWidth="1"/>
    <x:col min="6" max="6" width="13" hidden="0" customWidth="1"/>
    <x:col min="7" max="7" width="17" hidden="0" customWidth="1"/>
  </x:cols>
  <x:sheetData>
    <x:row r="1" ht="30" customHeight="1">
      <x:c r="A1" s="3" t="str">
        <x:v>Diccionario de datos — Moica</x:v>
      </x:c>
      <x:c r="B1" s="3"/>
      <x:c r="C1" s="3"/>
      <x:c r="D1" s="3"/>
      <x:c r="E1" s="3"/>
      <x:c r="F1" s="3"/>
      <x:c r="G1" s="3"/>
    </x:row>
    <x:row r="2" ht="34" customHeight="1">
      <x:c r="A2" s="7" t="str">
        <x:v>Modelo lógico en 3FN para PostgreSQL. Cada entidad dispone de una hoja propia.</x:v>
      </x:c>
      <x:c r="B2" s="7"/>
      <x:c r="C2" s="7"/>
      <x:c r="D2" s="7"/>
      <x:c r="E2" s="7"/>
      <x:c r="F2" s="7"/>
      <x:c r="G2" s="7"/>
    </x:row>
    <x:row r="4" ht="24" customHeight="1">
      <x:c r="A4" s="10" t="str">
        <x:v>Indicadores</x:v>
      </x:c>
      <x:c r="B4" s="10"/>
      <x:c r="D4" s="10" t="str">
        <x:v>Criterios aplicados</x:v>
      </x:c>
      <x:c r="E4" s="10"/>
      <x:c r="F4" s="10"/>
      <x:c r="G4" s="10"/>
    </x:row>
    <x:row r="5" ht="28" customHeight="1">
      <x:c r="A5" s="92" t="str">
        <x:v>Entidades</x:v>
      </x:c>
      <x:c r="B5" s="100" t="n">
        <x:f>COUNTA(B14:B30)</x:f>
        <x:v>17</x:v>
      </x:c>
      <x:c r="D5" s="106" t="str">
        <x:v>Entidades y tablas en singular y PascalCase.</x:v>
      </x:c>
      <x:c r="E5" s="106"/>
      <x:c r="F5" s="106"/>
      <x:c r="G5" s="106"/>
    </x:row>
    <x:row r="6" ht="28" customHeight="1">
      <x:c r="A6" s="93" t="str">
        <x:v>Atributos</x:v>
      </x:c>
      <x:c r="B6" s="100" t="n">
        <x:f>SUM(E14:E30)</x:f>
        <x:v>110</x:v>
      </x:c>
      <x:c r="D6" s="107" t="str">
        <x:v>Atributos en camelCase y nombres técnicos en español.</x:v>
      </x:c>
      <x:c r="E6" s="107"/>
      <x:c r="F6" s="107"/>
      <x:c r="G6" s="107"/>
    </x:row>
    <x:row r="7" ht="28" customHeight="1">
      <x:c r="A7" s="94" t="str">
        <x:v>Valores de dominio</x:v>
      </x:c>
      <x:c r="B7" s="100" t="n">
        <x:f>COUNTA('Dominios'!B6:B32)</x:f>
        <x:v>27</x:v>
      </x:c>
      <x:c r="D7" s="107" t="str">
        <x:v>Tipos compatibles con PostgreSQL y timestamptz para instantes reales.</x:v>
      </x:c>
      <x:c r="E7" s="107"/>
      <x:c r="F7" s="107"/>
      <x:c r="G7" s="107"/>
    </x:row>
    <x:row r="8" ht="28" customHeight="1">
      <x:c r="A8" s="93" t="str">
        <x:v>Relaciones</x:v>
      </x:c>
      <x:c r="B8" s="100" t="n">
        <x:f>SUM(F14:F30)/2</x:f>
        <x:v>25</x:v>
      </x:c>
      <x:c r="D8" s="107" t="str">
        <x:v>La BD conserva integridad estructural y checks escalares esenciales.</x:v>
      </x:c>
      <x:c r="E8" s="107"/>
      <x:c r="F8" s="107"/>
      <x:c r="G8" s="107"/>
    </x:row>
    <x:row r="9" ht="28" customHeight="1">
      <x:c r="A9" s="94" t="str">
        <x:v>Restricciones en BD</x:v>
      </x:c>
      <x:c r="B9" s="100" t="n">
        <x:f>SUM(G14:G30)</x:f>
        <x:v>27</x:v>
      </x:c>
      <x:c r="D9" s="107" t="str">
        <x:v>Las reglas de flujo y coherencia se validan en la aplicación.</x:v>
      </x:c>
      <x:c r="E9" s="107"/>
      <x:c r="F9" s="107"/>
      <x:c r="G9" s="107"/>
    </x:row>
    <x:row r="10" ht="28" customHeight="1">
      <x:c r="A10" s="93" t="str">
        <x:v>Decisiones cerradas</x:v>
      </x:c>
      <x:c r="B10" s="100" t="n">
        <x:f>COUNTA('Decisiones'!A6:A13)</x:f>
        <x:v>8</x:v>
      </x:c>
      <x:c r="D10" s="107" t="str">
        <x:v>Todos los puntos de revisión quedaron resueltos.</x:v>
      </x:c>
      <x:c r="E10" s="107"/>
      <x:c r="F10" s="107"/>
      <x:c r="G10" s="107"/>
    </x:row>
    <x:row r="12" ht="24" customHeight="1">
      <x:c r="A12" s="10" t="str">
        <x:v>Índice de entidades</x:v>
      </x:c>
      <x:c r="B12" s="10"/>
      <x:c r="C12" s="10"/>
      <x:c r="D12" s="10"/>
      <x:c r="E12" s="10"/>
      <x:c r="F12" s="10"/>
      <x:c r="G12" s="10"/>
    </x:row>
    <x:row r="13" ht="30" customHeight="1">
      <x:c r="A13" s="15" t="str">
        <x:v>Bloque</x:v>
      </x:c>
      <x:c r="B13" s="15" t="str">
        <x:v>Entidad</x:v>
      </x:c>
      <x:c r="C13" s="15" t="str">
        <x:v>Descripción</x:v>
      </x:c>
      <x:c r="D13" s="15" t="str">
        <x:v>Clave primaria</x:v>
      </x:c>
      <x:c r="E13" s="15" t="str">
        <x:v>Atributos</x:v>
      </x:c>
      <x:c r="F13" s="15" t="str">
        <x:v>Relaciones</x:v>
      </x:c>
      <x:c r="G13" s="15" t="str">
        <x:v>Restricciones BD</x:v>
      </x:c>
    </x:row>
    <x:row r="14" ht="46" customHeight="1">
      <x:c r="A14" s="108" t="str">
        <x:v>Usuarios y acceso</x:v>
      </x:c>
      <x:c r="B14" s="21" t="str">
        <x:v>Usuario</x:v>
      </x:c>
      <x:c r="C14" s="21" t="str">
        <x:v>Cuenta registrada en Moica. Toda cuenta puede actuar como cliente y, opcionalmente, extenderse como prestador o administrador.</x:v>
      </x:c>
      <x:c r="D14" s="24" t="str">
        <x:v>idUsuario</x:v>
      </x:c>
      <x:c r="E14" s="24" t="n">
        <x:f>'Usuario'!J4</x:f>
        <x:v>8</x:v>
      </x:c>
      <x:c r="F14" s="24" t="n">
        <x:f>'Usuario'!B5</x:f>
        <x:v>9</x:v>
      </x:c>
      <x:c r="G14" s="24" t="n">
        <x:f>'Usuario'!E5</x:f>
        <x:v>2</x:v>
      </x:c>
    </x:row>
    <x:row r="15" ht="46" customHeight="1">
      <x:c r="A15" s="109" t="str">
        <x:v>Usuarios y acceso</x:v>
      </x:c>
      <x:c r="B15" s="23" t="str">
        <x:v>Administrador</x:v>
      </x:c>
      <x:c r="C15" s="23" t="str">
        <x:v>Extensión de Usuario que identifica las cuentas con permisos para revisar reportes y aplicar medidas administrativas.</x:v>
      </x:c>
      <x:c r="D15" s="25" t="str">
        <x:v>idAdministrador</x:v>
      </x:c>
      <x:c r="E15" s="25" t="n">
        <x:f>'Administrador'!J4</x:f>
        <x:v>2</x:v>
      </x:c>
      <x:c r="F15" s="25" t="n">
        <x:f>'Administrador'!B5</x:f>
        <x:v>2</x:v>
      </x:c>
      <x:c r="G15" s="25" t="n">
        <x:f>'Administrador'!E5</x:f>
        <x:v>1</x:v>
      </x:c>
    </x:row>
    <x:row r="16" ht="46" customHeight="1">
      <x:c r="A16" s="110" t="str">
        <x:v>Ubicaciones</x:v>
      </x:c>
      <x:c r="B16" s="22" t="str">
        <x:v>Departamento</x:v>
      </x:c>
      <x:c r="C16" s="22" t="str">
        <x:v>Catálogo de departamentos. Permite habilitar territorialmente el servicio; en el MVP se habilita Managua.</x:v>
      </x:c>
      <x:c r="D16" s="26" t="str">
        <x:v>idDepartamento</x:v>
      </x:c>
      <x:c r="E16" s="26" t="n">
        <x:f>'Departamento'!J4</x:f>
        <x:v>3</x:v>
      </x:c>
      <x:c r="F16" s="26" t="n">
        <x:f>'Departamento'!B5</x:f>
        <x:v>1</x:v>
      </x:c>
      <x:c r="G16" s="26" t="n">
        <x:f>'Departamento'!E5</x:f>
        <x:v>2</x:v>
      </x:c>
    </x:row>
    <x:row r="17" ht="46" customHeight="1">
      <x:c r="A17" s="110" t="str">
        <x:v>Ubicaciones</x:v>
      </x:c>
      <x:c r="B17" s="23" t="str">
        <x:v>Municipio</x:v>
      </x:c>
      <x:c r="C17" s="23" t="str">
        <x:v>Catálogo de municipios pertenecientes a un departamento y utilizados para ubicar perfiles y solicitudes.</x:v>
      </x:c>
      <x:c r="D17" s="25" t="str">
        <x:v>idMunicipio</x:v>
      </x:c>
      <x:c r="E17" s="25" t="n">
        <x:f>'Municipio'!J4</x:f>
        <x:v>3</x:v>
      </x:c>
      <x:c r="F17" s="25" t="n">
        <x:f>'Municipio'!B5</x:f>
        <x:v>3</x:v>
      </x:c>
      <x:c r="G17" s="25" t="n">
        <x:f>'Municipio'!E5</x:f>
        <x:v>2</x:v>
      </x:c>
    </x:row>
    <x:row r="18" ht="46" customHeight="1">
      <x:c r="A18" s="111" t="str">
        <x:v>Prestadores</x:v>
      </x:c>
      <x:c r="B18" s="22" t="str">
        <x:v>PerfilPrestador</x:v>
      </x:c>
      <x:c r="C18" s="22" t="str">
        <x:v>Información pública y operativa que permite a un Usuario ofrecer servicios en Moica.</x:v>
      </x:c>
      <x:c r="D18" s="26" t="str">
        <x:v>idPrestador</x:v>
      </x:c>
      <x:c r="E18" s="26" t="n">
        <x:f>'PerfilPrestador'!J4</x:f>
        <x:v>10</x:v>
      </x:c>
      <x:c r="F18" s="26" t="n">
        <x:f>'PerfilPrestador'!B5</x:f>
        <x:v>5</x:v>
      </x:c>
      <x:c r="G18" s="26" t="n">
        <x:f>'PerfilPrestador'!E5</x:f>
        <x:v>1</x:v>
      </x:c>
    </x:row>
    <x:row r="19" ht="46" customHeight="1">
      <x:c r="A19" s="111" t="str">
        <x:v>Prestadores</x:v>
      </x:c>
      <x:c r="B19" s="23" t="str">
        <x:v>MedioContactoPrestador</x:v>
      </x:c>
      <x:c r="C19" s="23" t="str">
        <x:v>Dato de contacto externo publicado por el prestador, como WhatsApp, Facebook, Instagram, correo u otro medio.</x:v>
      </x:c>
      <x:c r="D19" s="25" t="str">
        <x:v>idMedioContactoPrestador</x:v>
      </x:c>
      <x:c r="E19" s="25" t="n">
        <x:f>'MedioContactoPrestador'!J4</x:f>
        <x:v>5</x:v>
      </x:c>
      <x:c r="F19" s="25" t="n">
        <x:f>'MedioContactoPrestador'!B5</x:f>
        <x:v>1</x:v>
      </x:c>
      <x:c r="G19" s="25" t="n">
        <x:f>'MedioContactoPrestador'!E5</x:f>
        <x:v>1</x:v>
      </x:c>
    </x:row>
    <x:row r="20" ht="46" customHeight="1">
      <x:c r="A20" s="111" t="str">
        <x:v>Prestadores</x:v>
      </x:c>
      <x:c r="B20" s="22" t="str">
        <x:v>TrabajoPortafolio</x:v>
      </x:c>
      <x:c r="C20" s="22" t="str">
        <x:v>Trabajo anterior que el prestador muestra como parte de su portafolio dentro del perfil.</x:v>
      </x:c>
      <x:c r="D20" s="26" t="str">
        <x:v>idTrabajo</x:v>
      </x:c>
      <x:c r="E20" s="26" t="n">
        <x:f>'TrabajoPortafolio'!J4</x:f>
        <x:v>8</x:v>
      </x:c>
      <x:c r="F20" s="26" t="n">
        <x:f>'TrabajoPortafolio'!B5</x:f>
        <x:v>2</x:v>
      </x:c>
      <x:c r="G20" s="26" t="n">
        <x:f>'TrabajoPortafolio'!E5</x:f>
        <x:v>1</x:v>
      </x:c>
    </x:row>
    <x:row r="21" ht="46" customHeight="1">
      <x:c r="A21" s="111" t="str">
        <x:v>Prestadores</x:v>
      </x:c>
      <x:c r="B21" s="23" t="str">
        <x:v>ImagenTrabajoPortafolio</x:v>
      </x:c>
      <x:c r="C21" s="23" t="str">
        <x:v>Imagen asociada con un trabajo del portafolio.</x:v>
      </x:c>
      <x:c r="D21" s="25" t="str">
        <x:v>idImagenTrabajoPortafolio</x:v>
      </x:c>
      <x:c r="E21" s="25" t="n">
        <x:f>'ImagenTrabajoPortafolio'!J4</x:f>
        <x:v>6</x:v>
      </x:c>
      <x:c r="F21" s="25" t="n">
        <x:f>'ImagenTrabajoPortafolio'!B5</x:f>
        <x:v>1</x:v>
      </x:c>
      <x:c r="G21" s="25" t="n">
        <x:f>'ImagenTrabajoPortafolio'!E5</x:f>
        <x:v>1</x:v>
      </x:c>
    </x:row>
    <x:row r="22" ht="46" customHeight="1">
      <x:c r="A22" s="112" t="str">
        <x:v>Servicios</x:v>
      </x:c>
      <x:c r="B22" s="22" t="str">
        <x:v>CategoriaServicio</x:v>
      </x:c>
      <x:c r="C22" s="22" t="str">
        <x:v>Clasificación general empleada para organizar los servicios ofrecidos en Moica.</x:v>
      </x:c>
      <x:c r="D22" s="26" t="str">
        <x:v>idCategoriaServicio</x:v>
      </x:c>
      <x:c r="E22" s="26" t="n">
        <x:f>'CategoriaServicio'!J4</x:f>
        <x:v>3</x:v>
      </x:c>
      <x:c r="F22" s="26" t="n">
        <x:f>'CategoriaServicio'!B5</x:f>
        <x:v>1</x:v>
      </x:c>
      <x:c r="G22" s="26" t="n">
        <x:f>'CategoriaServicio'!E5</x:f>
        <x:v>2</x:v>
      </x:c>
    </x:row>
    <x:row r="23" ht="46" customHeight="1">
      <x:c r="A23" s="112" t="str">
        <x:v>Servicios</x:v>
      </x:c>
      <x:c r="B23" s="23" t="str">
        <x:v>SubcategoriaServicio</x:v>
      </x:c>
      <x:c r="C23" s="23" t="str">
        <x:v>Clasificación específica perteneciente a una categoría y utilizada para clasificar servicios publicados.</x:v>
      </x:c>
      <x:c r="D23" s="25" t="str">
        <x:v>idSubcategoriaServicio</x:v>
      </x:c>
      <x:c r="E23" s="25" t="n">
        <x:f>'SubcategoriaServicio'!J4</x:f>
        <x:v>4</x:v>
      </x:c>
      <x:c r="F23" s="25" t="n">
        <x:f>'SubcategoriaServicio'!B5</x:f>
        <x:v>2</x:v>
      </x:c>
      <x:c r="G23" s="25" t="n">
        <x:f>'SubcategoriaServicio'!E5</x:f>
        <x:v>2</x:v>
      </x:c>
    </x:row>
    <x:row r="24" ht="46" customHeight="1">
      <x:c r="A24" s="112" t="str">
        <x:v>Servicios</x:v>
      </x:c>
      <x:c r="B24" s="22" t="str">
        <x:v>ServicioPublicado</x:v>
      </x:c>
      <x:c r="C24" s="22" t="str">
        <x:v>Oferta concreta que un prestador publica para que los clientes puedan encontrarla y solicitarla.</x:v>
      </x:c>
      <x:c r="D24" s="26" t="str">
        <x:v>idServicioPublicado</x:v>
      </x:c>
      <x:c r="E24" s="26" t="n">
        <x:f>'ServicioPublicado'!J4</x:f>
        <x:v>9</x:v>
      </x:c>
      <x:c r="F24" s="26" t="n">
        <x:f>'ServicioPublicado'!B5</x:f>
        <x:v>4</x:v>
      </x:c>
      <x:c r="G24" s="26" t="n">
        <x:f>'ServicioPublicado'!E5</x:f>
        <x:v>2</x:v>
      </x:c>
    </x:row>
    <x:row r="25" ht="46" customHeight="1">
      <x:c r="A25" s="112" t="str">
        <x:v>Servicios</x:v>
      </x:c>
      <x:c r="B25" s="23" t="str">
        <x:v>ImagenServicioPublicado</x:v>
      </x:c>
      <x:c r="C25" s="23" t="str">
        <x:v>Imagen asociada con un servicio publicado.</x:v>
      </x:c>
      <x:c r="D25" s="25" t="str">
        <x:v>idImagenServicioPublicado</x:v>
      </x:c>
      <x:c r="E25" s="25" t="n">
        <x:f>'ImagenServicioPublicado'!J4</x:f>
        <x:v>6</x:v>
      </x:c>
      <x:c r="F25" s="25" t="n">
        <x:f>'ImagenServicioPublicado'!B5</x:f>
        <x:v>1</x:v>
      </x:c>
      <x:c r="G25" s="25" t="n">
        <x:f>'ImagenServicioPublicado'!E5</x:f>
        <x:v>1</x:v>
      </x:c>
    </x:row>
    <x:row r="26" ht="46" customHeight="1">
      <x:c r="A26" s="113" t="str">
        <x:v>Contratación</x:v>
      </x:c>
      <x:c r="B26" s="22" t="str">
        <x:v>SolicitudServicio</x:v>
      </x:c>
      <x:c r="C26" s="22" t="str">
        <x:v>Petición de un cliente para contratar un servicio publicado por un prestador.</x:v>
      </x:c>
      <x:c r="D26" s="26" t="str">
        <x:v>idSolicitudServicio</x:v>
      </x:c>
      <x:c r="E26" s="26" t="n">
        <x:f>'SolicitudServicio'!J4</x:f>
        <x:v>10</x:v>
      </x:c>
      <x:c r="F26" s="26" t="n">
        <x:f>'SolicitudServicio'!B5</x:f>
        <x:v>7</x:v>
      </x:c>
      <x:c r="G26" s="26" t="n">
        <x:f>'SolicitudServicio'!E5</x:f>
        <x:v>1</x:v>
      </x:c>
    </x:row>
    <x:row r="27" ht="46" customHeight="1">
      <x:c r="A27" s="113" t="str">
        <x:v>Contratación</x:v>
      </x:c>
      <x:c r="B27" s="23" t="str">
        <x:v>CambioEstadoSolicitud</x:v>
      </x:c>
      <x:c r="C27" s="23" t="str">
        <x:v>Registro de cada transición de estado de una solicitud; el conjunto de registros forma su historial.</x:v>
      </x:c>
      <x:c r="D27" s="25" t="str">
        <x:v>idCambioEstadoSolicitud</x:v>
      </x:c>
      <x:c r="E27" s="25" t="n">
        <x:f>'CambioEstadoSolicitud'!J4</x:f>
        <x:v>7</x:v>
      </x:c>
      <x:c r="F27" s="25" t="n">
        <x:f>'CambioEstadoSolicitud'!B5</x:f>
        <x:v>2</x:v>
      </x:c>
      <x:c r="G27" s="25" t="n">
        <x:f>'CambioEstadoSolicitud'!E5</x:f>
        <x:v>1</x:v>
      </x:c>
    </x:row>
    <x:row r="28" ht="46" customHeight="1">
      <x:c r="A28" s="113" t="str">
        <x:v>Contratación</x:v>
      </x:c>
      <x:c r="B28" s="22" t="str">
        <x:v>MensajeSolicitud</x:v>
      </x:c>
      <x:c r="C28" s="22" t="str">
        <x:v>Mensaje de texto enviado por uno de los participantes dentro de una solicitud aceptada.</x:v>
      </x:c>
      <x:c r="D28" s="26" t="str">
        <x:v>idMensajeSolicitud</x:v>
      </x:c>
      <x:c r="E28" s="26" t="n">
        <x:f>'MensajeSolicitud'!J4</x:f>
        <x:v>5</x:v>
      </x:c>
      <x:c r="F28" s="26" t="n">
        <x:f>'MensajeSolicitud'!B5</x:f>
        <x:v>2</x:v>
      </x:c>
      <x:c r="G28" s="26" t="n">
        <x:f>'MensajeSolicitud'!E5</x:f>
        <x:v>1</x:v>
      </x:c>
    </x:row>
    <x:row r="29" ht="46" customHeight="1">
      <x:c r="A29" s="114" t="str">
        <x:v>Confianza y moderación</x:v>
      </x:c>
      <x:c r="B29" s="23" t="str">
        <x:v>CalificacionUsuario</x:v>
      </x:c>
      <x:c r="C29" s="23" t="str">
        <x:v>Valoración que un participante realiza sobre el otro después de completar una solicitud.</x:v>
      </x:c>
      <x:c r="D29" s="25" t="str">
        <x:v>idCalificacionUsuario</x:v>
      </x:c>
      <x:c r="E29" s="25" t="n">
        <x:f>'CalificacionUsuario'!J4</x:f>
        <x:v>8</x:v>
      </x:c>
      <x:c r="F29" s="25" t="n">
        <x:f>'CalificacionUsuario'!B5</x:f>
        <x:v>3</x:v>
      </x:c>
      <x:c r="G29" s="25" t="n">
        <x:f>'CalificacionUsuario'!E5</x:f>
        <x:v>4</x:v>
      </x:c>
    </x:row>
    <x:row r="30" ht="46" customHeight="1">
      <x:c r="A30" s="114" t="str">
        <x:v>Confianza y moderación</x:v>
      </x:c>
      <x:c r="B30" s="22" t="str">
        <x:v>ReporteUsuario</x:v>
      </x:c>
      <x:c r="C30" s="22" t="str">
        <x:v>Reporte presentado por un participante sobre el otro y su posterior revisión administrativa.</x:v>
      </x:c>
      <x:c r="D30" s="26" t="str">
        <x:v>idReporteUsuario</x:v>
      </x:c>
      <x:c r="E30" s="26" t="n">
        <x:f>'ReporteUsuario'!J4</x:f>
        <x:v>13</x:v>
      </x:c>
      <x:c r="F30" s="26" t="n">
        <x:f>'ReporteUsuario'!B5</x:f>
        <x:v>4</x:v>
      </x:c>
      <x:c r="G30" s="26" t="n">
        <x:f>'ReporteUsuario'!E5</x:f>
        <x:v>2</x:v>
      </x:c>
    </x:row>
    <x:row r="32" ht="24" customHeight="1">
      <x:c r="A32" s="10" t="str">
        <x:v>Fuentes de modelado</x:v>
      </x:c>
      <x:c r="B32" s="10"/>
      <x:c r="C32" s="10"/>
      <x:c r="D32" s="10"/>
      <x:c r="E32" s="10"/>
      <x:c r="F32" s="10"/>
      <x:c r="G32" s="10"/>
    </x:row>
    <x:row r="33" ht="24" customHeight="1">
      <x:c r="A33" s="106" t="str">
        <x:v>Definición funcional vigente de Moica.</x:v>
      </x:c>
      <x:c r="B33" s="106"/>
      <x:c r="C33" s="106"/>
      <x:c r="D33" s="106"/>
      <x:c r="E33" s="106"/>
      <x:c r="F33" s="106"/>
      <x:c r="G33" s="106"/>
    </x:row>
    <x:row r="34" ht="24" customHeight="1">
      <x:c r="A34" s="107" t="str">
        <x:v>Modelo lógico ER normalizado hasta tercera forma normal.</x:v>
      </x:c>
      <x:c r="B34" s="107"/>
      <x:c r="C34" s="107"/>
      <x:c r="D34" s="107"/>
      <x:c r="E34" s="107"/>
      <x:c r="F34" s="107"/>
      <x:c r="G34" s="107"/>
    </x:row>
    <x:row r="35" ht="24" customHeight="1">
      <x:c r="A35" s="107" t="str">
        <x:v>Decisiones de revisión aprobadas el 23 de julio de 2026.</x:v>
      </x:c>
      <x:c r="B35" s="107"/>
      <x:c r="C35" s="107"/>
      <x:c r="D35" s="107"/>
      <x:c r="E35" s="107"/>
      <x:c r="F35" s="107"/>
      <x:c r="G35" s="107"/>
    </x:row>
    <x:row r="36" ht="24" customHeight="1">
      <x:c r="A36" s="107" t="str">
        <x:v>Reglas de nomenclatura y compatibilidad acordadas para PostgreSQL.</x:v>
      </x:c>
      <x:c r="B36" s="107"/>
      <x:c r="C36" s="107"/>
      <x:c r="D36" s="107"/>
      <x:c r="E36" s="107"/>
      <x:c r="F36" s="107"/>
      <x:c r="G36" s="107"/>
    </x:row>
  </x:sheetData>
  <x:mergeCells>
    <x:mergeCell ref="A1:G1"/>
    <x:mergeCell ref="A2:G2"/>
    <x:mergeCell ref="A4:B4"/>
    <x:mergeCell ref="D4:G4"/>
    <x:mergeCell ref="D5:G5"/>
    <x:mergeCell ref="D6:G6"/>
    <x:mergeCell ref="D7:G7"/>
    <x:mergeCell ref="D8:G8"/>
    <x:mergeCell ref="D9:G9"/>
    <x:mergeCell ref="D10:G10"/>
    <x:mergeCell ref="A12:G12"/>
    <x:mergeCell ref="A32:G32"/>
    <x:mergeCell ref="A33:G33"/>
    <x:mergeCell ref="A34:G34"/>
    <x:mergeCell ref="A35:G35"/>
    <x:mergeCell ref="A36:G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2" hidden="0" customWidth="1"/>
    <x:col min="3" max="3" width="39" hidden="0" customWidth="1"/>
    <x:col min="4" max="4" width="56" hidden="0" customWidth="1"/>
  </x:cols>
  <x:sheetData>
    <x:row r="1" ht="30" customHeight="1">
      <x:c r="A1" s="3" t="str">
        <x:v>Decisiones cerradas del modelo</x:v>
      </x:c>
      <x:c r="B1" s="3"/>
      <x:c r="C1" s="3"/>
      <x:c r="D1" s="3"/>
    </x:row>
    <x:row r="2" ht="34" customHeight="1">
      <x:c r="A2" s="7" t="str">
        <x:v>Criterios aprobados para actualizar el diccionario y orientar la siguiente revisión del ER.</x:v>
      </x:c>
      <x:c r="B2" s="7"/>
      <x:c r="C2" s="7"/>
      <x:c r="D2" s="7"/>
    </x:row>
    <x:row r="4" ht="24" customHeight="1">
      <x:c r="A4" s="10" t="str">
        <x:v>Acuerdos aplicados</x:v>
      </x:c>
      <x:c r="B4" s="10"/>
      <x:c r="C4" s="10"/>
      <x:c r="D4" s="10"/>
    </x:row>
    <x:row r="5" ht="30" customHeight="1">
      <x:c r="A5" s="15" t="str">
        <x:v>N.º</x:v>
      </x:c>
      <x:c r="B5" s="15" t="str">
        <x:v>Elemento</x:v>
      </x:c>
      <x:c r="C5" s="15" t="str">
        <x:v>Decisión</x:v>
      </x:c>
      <x:c r="D5" s="15" t="str">
        <x:v>Efecto en el modelo</x:v>
      </x:c>
    </x:row>
    <x:row r="6" ht="54" customHeight="1">
      <x:c r="A6" s="24" t="n">
        <x:v>1</x:v>
      </x:c>
      <x:c r="B6" s="21" t="str">
        <x:v>Usuario.fechaFinRestriccionCuenta</x:v>
      </x:c>
      <x:c r="C6" s="21" t="str">
        <x:v>Se aprueba el nuevo nombre.</x:v>
      </x:c>
      <x:c r="D6" s="21" t="str">
        <x:v>Sustituye fechaFinEstadoCuenta en todo el diccionario.</x:v>
      </x:c>
    </x:row>
    <x:row r="7" ht="54" customHeight="1">
      <x:c r="A7" s="25" t="n">
        <x:v>2</x:v>
      </x:c>
      <x:c r="B7" s="23" t="str">
        <x:v>Campos fechaActualizacion</x:v>
      </x:c>
      <x:c r="C7" s="23" t="str">
        <x:v>Se conservan con el nombre fechaActualizacion.</x:v>
      </x:c>
      <x:c r="D7" s="23" t="str">
        <x:v>La aplicación los actualiza; no se requiere trigger.</x:v>
      </x:c>
    </x:row>
    <x:row r="8" ht="54" customHeight="1">
      <x:c r="A8" s="26" t="n">
        <x:v>3</x:v>
      </x:c>
      <x:c r="B8" s="22" t="str">
        <x:v>Fin de una medida temporal</x:v>
      </x:c>
      <x:c r="C8" s="22" t="str">
        <x:v>Se mantiene una sola fuente de verdad.</x:v>
      </x:c>
      <x:c r="D8" s="22" t="str">
        <x:v>Usuario conserva fechaFinRestriccionCuenta y se elimina ReporteUsuario.fechaFinMedida.</x:v>
      </x:c>
    </x:row>
    <x:row r="9" ht="54" customHeight="1">
      <x:c r="A9" s="25" t="n">
        <x:v>4</x:v>
      </x:c>
      <x:c r="B9" s="23" t="str">
        <x:v>CalificacionUsuario.rolCalificado</x:v>
      </x:c>
      <x:c r="C9" s="23" t="str">
        <x:v>Se conserva como atributo explícito.</x:v>
      </x:c>
      <x:c r="D9" s="23" t="str">
        <x:v>Simplifica consultas y mantiene clara la faceta evaluada.</x:v>
      </x:c>
    </x:row>
    <x:row r="10" ht="54" customHeight="1">
      <x:c r="A10" s="26" t="n">
        <x:v>5</x:v>
      </x:c>
      <x:c r="B10" s="22" t="str">
        <x:v>SolicitudServicio.mensajeAdicional</x:v>
      </x:c>
      <x:c r="C10" s="22" t="str">
        <x:v>Se elimina.</x:v>
      </x:c>
      <x:c r="D10" s="22" t="str">
        <x:v>descripcionNecesidad concentra la explicación del cliente.</x:v>
      </x:c>
    </x:row>
    <x:row r="11" ht="54" customHeight="1">
      <x:c r="A11" s="25" t="n">
        <x:v>6</x:v>
      </x:c>
      <x:c r="B11" s="23" t="str">
        <x:v>EstadoReporte</x:v>
      </x:c>
      <x:c r="C11" s="23" t="str">
        <x:v>Se simplifica el dominio.</x:v>
      </x:c>
      <x:c r="D11" s="23" t="str">
        <x:v>PENDIENTE, EN_REVISION, DESESTIMADO y RESUELTO.</x:v>
      </x:c>
    </x:row>
    <x:row r="12" ht="54" customHeight="1">
      <x:c r="A12" s="26" t="n">
        <x:v>7</x:v>
      </x:c>
      <x:c r="B12" s="22" t="str">
        <x:v>ReporteUsuario.medidaAplicada</x:v>
      </x:c>
      <x:c r="C12" s="22" t="str">
        <x:v>Se aprueba el nuevo nombre.</x:v>
      </x:c>
      <x:c r="D12" s="22" t="str">
        <x:v>Sustituye medidaVigente y representa un dato histórico.</x:v>
      </x:c>
    </x:row>
    <x:row r="13" ht="54" customHeight="1">
      <x:c r="A13" s="25" t="n">
        <x:v>8</x:v>
      </x:c>
      <x:c r="B13" s="23" t="str">
        <x:v>Validaciones de negocio</x:v>
      </x:c>
      <x:c r="C13" s="23" t="str">
        <x:v>La mayoría se implementa en la aplicación.</x:v>
      </x:c>
      <x:c r="D13" s="23" t="str">
        <x:v>La BD conserva claves, nulabilidad, unicidad y solo checks escalares esenciales.</x:v>
      </x:c>
    </x:row>
  </x:sheetData>
  <x:mergeCells>
    <x:mergeCell ref="A1:D1"/>
    <x:mergeCell ref="A2:D2"/>
    <x:mergeCell ref="A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64" hidden="0" customWidth="1"/>
    <x:col min="4" max="4" width="42" hidden="0" customWidth="1"/>
  </x:cols>
  <x:sheetData>
    <x:row r="1" ht="30" customHeight="1">
      <x:c r="A1" s="3" t="str">
        <x:v>Dominios controlados</x:v>
      </x:c>
      <x:c r="B1" s="3"/>
      <x:c r="C1" s="3"/>
      <x:c r="D1" s="3"/>
    </x:row>
    <x:row r="2" ht="34" customHeight="1">
      <x:c r="A2" s="7" t="str">
        <x:v>Valores permitidos para los atributos categóricos del modelo lógico actualizado.</x:v>
      </x:c>
      <x:c r="B2" s="7"/>
      <x:c r="C2" s="7"/>
      <x:c r="D2" s="7"/>
    </x:row>
    <x:row r="4" ht="24" customHeight="1">
      <x:c r="A4" s="10" t="str">
        <x:v>Catálogo de valores</x:v>
      </x:c>
      <x:c r="B4" s="10"/>
      <x:c r="C4" s="10"/>
      <x:c r="D4" s="10"/>
    </x:row>
    <x:row r="5" ht="30" customHeight="1">
      <x:c r="A5" s="15" t="str">
        <x:v>Dominio</x:v>
      </x:c>
      <x:c r="B5" s="15" t="str">
        <x:v>Valor</x:v>
      </x:c>
      <x:c r="C5" s="15" t="str">
        <x:v>Significado</x:v>
      </x:c>
      <x:c r="D5" s="15" t="str">
        <x:v>Aplica en</x:v>
      </x:c>
    </x:row>
    <x:row r="6" ht="38" customHeight="1">
      <x:c r="A6" s="21" t="str">
        <x:v>EstadoCuenta</x:v>
      </x:c>
      <x:c r="B6" s="21" t="str">
        <x:v>ACTIVA</x:v>
      </x:c>
      <x:c r="C6" s="21" t="str">
        <x:v>La cuenta puede utilizar las funciones permitidas por su perfil.</x:v>
      </x:c>
      <x:c r="D6" s="21" t="str">
        <x:v>Usuario.estadoCuenta</x:v>
      </x:c>
    </x:row>
    <x:row r="7" ht="38" customHeight="1">
      <x:c r="A7" s="23" t="str">
        <x:v>EstadoCuenta</x:v>
      </x:c>
      <x:c r="B7" s="23" t="str">
        <x:v>RESTRINGIDA_TEMPORAL</x:v>
      </x:c>
      <x:c r="C7" s="23" t="str">
        <x:v>La cuenta conserva acceso, pero algunas funciones quedan limitadas hasta una fecha.</x:v>
      </x:c>
      <x:c r="D7" s="23" t="str">
        <x:v>Usuario.estadoCuenta</x:v>
      </x:c>
    </x:row>
    <x:row r="8" ht="38" customHeight="1">
      <x:c r="A8" s="22" t="str">
        <x:v>EstadoCuenta</x:v>
      </x:c>
      <x:c r="B8" s="22" t="str">
        <x:v>SUSPENDIDA_TEMPORAL</x:v>
      </x:c>
      <x:c r="C8" s="22" t="str">
        <x:v>La cuenta queda bloqueada hasta una fecha determinada.</x:v>
      </x:c>
      <x:c r="D8" s="22" t="str">
        <x:v>Usuario.estadoCuenta</x:v>
      </x:c>
    </x:row>
    <x:row r="9" ht="38" customHeight="1">
      <x:c r="A9" s="23" t="str">
        <x:v>EstadoCuenta</x:v>
      </x:c>
      <x:c r="B9" s="23" t="str">
        <x:v>SUSPENDIDA_PERMANENTE</x:v>
      </x:c>
      <x:c r="C9" s="23" t="str">
        <x:v>La cuenta queda bloqueada sin fecha automática de reactivación.</x:v>
      </x:c>
      <x:c r="D9" s="23" t="str">
        <x:v>Usuario.estadoCuenta</x:v>
      </x:c>
    </x:row>
    <x:row r="10" ht="38" customHeight="1">
      <x:c r="A10" s="22" t="str">
        <x:v>TipoPrestador</x:v>
      </x:c>
      <x:c r="B10" s="22" t="str">
        <x:v>INDEPENDIENTE</x:v>
      </x:c>
      <x:c r="C10" s="22" t="str">
        <x:v>Persona que ofrece servicios por cuenta propia.</x:v>
      </x:c>
      <x:c r="D10" s="22" t="str">
        <x:v>PerfilPrestador.tipoPrestador</x:v>
      </x:c>
    </x:row>
    <x:row r="11" ht="38" customHeight="1">
      <x:c r="A11" s="23" t="str">
        <x:v>TipoPrestador</x:v>
      </x:c>
      <x:c r="B11" s="23" t="str">
        <x:v>EMPRENDIMIENTO</x:v>
      </x:c>
      <x:c r="C11" s="23" t="str">
        <x:v>Negocio o iniciativa en proceso de consolidación.</x:v>
      </x:c>
      <x:c r="D11" s="23" t="str">
        <x:v>PerfilPrestador.tipoPrestador</x:v>
      </x:c>
    </x:row>
    <x:row r="12" ht="38" customHeight="1">
      <x:c r="A12" s="22" t="str">
        <x:v>TipoPrestador</x:v>
      </x:c>
      <x:c r="B12" s="22" t="str">
        <x:v>PYME</x:v>
      </x:c>
      <x:c r="C12" s="22" t="str">
        <x:v>Pequeña o mediana empresa que ofrece servicios.</x:v>
      </x:c>
      <x:c r="D12" s="22" t="str">
        <x:v>PerfilPrestador.tipoPrestador</x:v>
      </x:c>
    </x:row>
    <x:row r="13" ht="38" customHeight="1">
      <x:c r="A13" s="23" t="str">
        <x:v>EstadoDisponibilidad</x:v>
      </x:c>
      <x:c r="B13" s="23" t="str">
        <x:v>DISPONIBLE</x:v>
      </x:c>
      <x:c r="C13" s="23" t="str">
        <x:v>El prestador acepta nuevas solicitudes.</x:v>
      </x:c>
      <x:c r="D13" s="23" t="str">
        <x:v>PerfilPrestador.disponibilidad</x:v>
      </x:c>
    </x:row>
    <x:row r="14" ht="38" customHeight="1">
      <x:c r="A14" s="22" t="str">
        <x:v>EstadoDisponibilidad</x:v>
      </x:c>
      <x:c r="B14" s="22" t="str">
        <x:v>NO_DISPONIBLE</x:v>
      </x:c>
      <x:c r="C14" s="22" t="str">
        <x:v>El prestador no acepta nuevas solicitudes.</x:v>
      </x:c>
      <x:c r="D14" s="22" t="str">
        <x:v>PerfilPrestador.disponibilidad</x:v>
      </x:c>
    </x:row>
    <x:row r="15" ht="38" customHeight="1">
      <x:c r="A15" s="23" t="str">
        <x:v>EstadoServicio</x:v>
      </x:c>
      <x:c r="B15" s="23" t="str">
        <x:v>ACTIVO</x:v>
      </x:c>
      <x:c r="C15" s="23" t="str">
        <x:v>El servicio puede mostrarse y, si el prestador está disponible, recibir solicitudes.</x:v>
      </x:c>
      <x:c r="D15" s="23" t="str">
        <x:v>ServicioPublicado.estado</x:v>
      </x:c>
    </x:row>
    <x:row r="16" ht="38" customHeight="1">
      <x:c r="A16" s="22" t="str">
        <x:v>EstadoServicio</x:v>
      </x:c>
      <x:c r="B16" s="22" t="str">
        <x:v>INACTIVO</x:v>
      </x:c>
      <x:c r="C16" s="22" t="str">
        <x:v>El servicio no recibe nuevas solicitudes.</x:v>
      </x:c>
      <x:c r="D16" s="22" t="str">
        <x:v>ServicioPublicado.estado</x:v>
      </x:c>
    </x:row>
    <x:row r="17" ht="38" customHeight="1">
      <x:c r="A17" s="23" t="str">
        <x:v>EstadoSolicitud</x:v>
      </x:c>
      <x:c r="B17" s="23" t="str">
        <x:v>PENDIENTE</x:v>
      </x:c>
      <x:c r="C17" s="23" t="str">
        <x:v>La solicitud espera la decisión del prestador.</x:v>
      </x:c>
      <x:c r="D17" s="23" t="str">
        <x:v>SolicitudServicio.estadoActual / CambioEstadoSolicitud</x:v>
      </x:c>
    </x:row>
    <x:row r="18" ht="38" customHeight="1">
      <x:c r="A18" s="22" t="str">
        <x:v>EstadoSolicitud</x:v>
      </x:c>
      <x:c r="B18" s="22" t="str">
        <x:v>ACEPTADA</x:v>
      </x:c>
      <x:c r="C18" s="22" t="str">
        <x:v>El prestador aceptó la solicitud y se habilitan chat y contactos.</x:v>
      </x:c>
      <x:c r="D18" s="22" t="str">
        <x:v>SolicitudServicio.estadoActual / CambioEstadoSolicitud</x:v>
      </x:c>
    </x:row>
    <x:row r="19" ht="38" customHeight="1">
      <x:c r="A19" s="23" t="str">
        <x:v>EstadoSolicitud</x:v>
      </x:c>
      <x:c r="B19" s="23" t="str">
        <x:v>RECHAZADA</x:v>
      </x:c>
      <x:c r="C19" s="23" t="str">
        <x:v>El prestador rechazó la solicitud; es un estado final.</x:v>
      </x:c>
      <x:c r="D19" s="23" t="str">
        <x:v>SolicitudServicio.estadoActual / CambioEstadoSolicitud</x:v>
      </x:c>
    </x:row>
    <x:row r="20" ht="38" customHeight="1">
      <x:c r="A20" s="22" t="str">
        <x:v>EstadoSolicitud</x:v>
      </x:c>
      <x:c r="B20" s="22" t="str">
        <x:v>CANCELADA</x:v>
      </x:c>
      <x:c r="C20" s="22" t="str">
        <x:v>La solicitud fue cancelada; es un estado final.</x:v>
      </x:c>
      <x:c r="D20" s="22" t="str">
        <x:v>SolicitudServicio.estadoActual / CambioEstadoSolicitud</x:v>
      </x:c>
    </x:row>
    <x:row r="21" ht="38" customHeight="1">
      <x:c r="A21" s="23" t="str">
        <x:v>EstadoSolicitud</x:v>
      </x:c>
      <x:c r="B21" s="23" t="str">
        <x:v>COMPLETADA</x:v>
      </x:c>
      <x:c r="C21" s="23" t="str">
        <x:v>El servicio se marcó como completado y el chat queda cerrado.</x:v>
      </x:c>
      <x:c r="D21" s="23" t="str">
        <x:v>SolicitudServicio.estadoActual / CambioEstadoSolicitud</x:v>
      </x:c>
    </x:row>
    <x:row r="22" ht="38" customHeight="1">
      <x:c r="A22" s="22" t="str">
        <x:v>RolCalificado</x:v>
      </x:c>
      <x:c r="B22" s="22" t="str">
        <x:v>CLIENTE</x:v>
      </x:c>
      <x:c r="C22" s="22" t="str">
        <x:v>El usuario calificado actuó como cliente en la solicitud.</x:v>
      </x:c>
      <x:c r="D22" s="22" t="str">
        <x:v>CalificacionUsuario.rolCalificado</x:v>
      </x:c>
    </x:row>
    <x:row r="23" ht="38" customHeight="1">
      <x:c r="A23" s="23" t="str">
        <x:v>RolCalificado</x:v>
      </x:c>
      <x:c r="B23" s="23" t="str">
        <x:v>PRESTADOR</x:v>
      </x:c>
      <x:c r="C23" s="23" t="str">
        <x:v>El usuario calificado actuó como prestador en la solicitud.</x:v>
      </x:c>
      <x:c r="D23" s="23" t="str">
        <x:v>CalificacionUsuario.rolCalificado</x:v>
      </x:c>
    </x:row>
    <x:row r="24" ht="38" customHeight="1">
      <x:c r="A24" s="22" t="str">
        <x:v>EstadoReporte</x:v>
      </x:c>
      <x:c r="B24" s="22" t="str">
        <x:v>PENDIENTE</x:v>
      </x:c>
      <x:c r="C24" s="22" t="str">
        <x:v>El reporte fue recibido y espera revisión.</x:v>
      </x:c>
      <x:c r="D24" s="22" t="str">
        <x:v>ReporteUsuario.estado</x:v>
      </x:c>
    </x:row>
    <x:row r="25" ht="38" customHeight="1">
      <x:c r="A25" s="23" t="str">
        <x:v>EstadoReporte</x:v>
      </x:c>
      <x:c r="B25" s="23" t="str">
        <x:v>EN_REVISION</x:v>
      </x:c>
      <x:c r="C25" s="23" t="str">
        <x:v>Un administrador está analizando el reporte.</x:v>
      </x:c>
      <x:c r="D25" s="23" t="str">
        <x:v>ReporteUsuario.estado</x:v>
      </x:c>
    </x:row>
    <x:row r="26" ht="38" customHeight="1">
      <x:c r="A26" s="22" t="str">
        <x:v>EstadoReporte</x:v>
      </x:c>
      <x:c r="B26" s="22" t="str">
        <x:v>DESESTIMADO</x:v>
      </x:c>
      <x:c r="C26" s="22" t="str">
        <x:v>La revisión concluyó que el reporte no requiere una medida administrativa.</x:v>
      </x:c>
      <x:c r="D26" s="22" t="str">
        <x:v>ReporteUsuario.estado</x:v>
      </x:c>
    </x:row>
    <x:row r="27" ht="38" customHeight="1">
      <x:c r="A27" s="23" t="str">
        <x:v>EstadoReporte</x:v>
      </x:c>
      <x:c r="B27" s="23" t="str">
        <x:v>RESUELTO</x:v>
      </x:c>
      <x:c r="C27" s="23" t="str">
        <x:v>La revisión concluyó y se registró una resolución, con o sin medida administrativa.</x:v>
      </x:c>
      <x:c r="D27" s="23" t="str">
        <x:v>ReporteUsuario.estado</x:v>
      </x:c>
    </x:row>
    <x:row r="28" ht="38" customHeight="1">
      <x:c r="A28" s="22" t="str">
        <x:v>MedidaAdministrativa</x:v>
      </x:c>
      <x:c r="B28" s="22" t="str">
        <x:v>NINGUNA</x:v>
      </x:c>
      <x:c r="C28" s="22" t="str">
        <x:v>No se aplicó una medida a la cuenta reportada.</x:v>
      </x:c>
      <x:c r="D28" s="22" t="str">
        <x:v>ReporteUsuario.medidaAplicada</x:v>
      </x:c>
    </x:row>
    <x:row r="29" ht="38" customHeight="1">
      <x:c r="A29" s="23" t="str">
        <x:v>MedidaAdministrativa</x:v>
      </x:c>
      <x:c r="B29" s="23" t="str">
        <x:v>ADVERTENCIA</x:v>
      </x:c>
      <x:c r="C29" s="23" t="str">
        <x:v>Se registra una advertencia administrativa.</x:v>
      </x:c>
      <x:c r="D29" s="23" t="str">
        <x:v>ReporteUsuario.medidaAplicada</x:v>
      </x:c>
    </x:row>
    <x:row r="30" ht="38" customHeight="1">
      <x:c r="A30" s="22" t="str">
        <x:v>MedidaAdministrativa</x:v>
      </x:c>
      <x:c r="B30" s="22" t="str">
        <x:v>RESTRICCION_TEMPORAL_FUNCIONES</x:v>
      </x:c>
      <x:c r="C30" s="22" t="str">
        <x:v>Se limitan temporalmente determinadas funciones.</x:v>
      </x:c>
      <x:c r="D30" s="22" t="str">
        <x:v>ReporteUsuario.medidaAplicada</x:v>
      </x:c>
    </x:row>
    <x:row r="31" ht="38" customHeight="1">
      <x:c r="A31" s="23" t="str">
        <x:v>MedidaAdministrativa</x:v>
      </x:c>
      <x:c r="B31" s="23" t="str">
        <x:v>SUSPENSION_TEMPORAL</x:v>
      </x:c>
      <x:c r="C31" s="23" t="str">
        <x:v>La cuenta queda suspendida hasta una fecha.</x:v>
      </x:c>
      <x:c r="D31" s="23" t="str">
        <x:v>ReporteUsuario.medidaAplicada</x:v>
      </x:c>
    </x:row>
    <x:row r="32" ht="38" customHeight="1">
      <x:c r="A32" s="22" t="str">
        <x:v>MedidaAdministrativa</x:v>
      </x:c>
      <x:c r="B32" s="22" t="str">
        <x:v>SUSPENSION_PERMANENTE</x:v>
      </x:c>
      <x:c r="C32" s="22" t="str">
        <x:v>La cuenta queda suspendida sin fecha automática de reactivación.</x:v>
      </x:c>
      <x:c r="D32" s="22" t="str">
        <x:v>ReporteUsuario.medidaAplicada</x:v>
      </x:c>
    </x:row>
  </x:sheetData>
  <x:mergeCells>
    <x:mergeCell ref="A1:D1"/>
    <x:mergeCell ref="A2:D2"/>
    <x:mergeCell ref="A4:D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Usuario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Cuenta registrada en Moica. Toda cuenta puede actuar como cliente y, opcionalmente, extenderse como prestador o administrador.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5" t="str">
        <x:v>Bloque</x:v>
      </x:c>
      <x:c r="B4" s="35" t="str">
        <x:v>Usuarios y acceso</x:v>
      </x:c>
      <x:c r="C4" s="36"/>
      <x:c r="D4" s="15" t="str">
        <x:v>Naturaleza</x:v>
      </x:c>
      <x:c r="E4" s="35" t="str">
        <x:v>Entidad principal</x:v>
      </x:c>
      <x:c r="F4" s="36"/>
      <x:c r="G4" s="15" t="str">
        <x:v>Clave primaria</x:v>
      </x:c>
      <x:c r="H4" s="40" t="str">
        <x:v>idUsuario</x:v>
      </x:c>
      <x:c r="I4" s="15" t="str">
        <x:v>Atributos</x:v>
      </x:c>
      <x:c r="J4" s="40" t="n">
        <x:f>COUNTA(A9:A16)</x:f>
        <x:v>8</x:v>
      </x:c>
    </x:row>
    <x:row r="5" ht="30" customHeight="1">
      <x:c r="A5" s="15" t="str">
        <x:v>Relaciones</x:v>
      </x:c>
      <x:c r="B5" s="40" t="n">
        <x:f>COUNTA(A20:A28)</x:f>
        <x:v>9</x:v>
      </x:c>
      <x:c r="D5" s="15" t="str">
        <x:v>Restricciones BD</x:v>
      </x:c>
      <x:c r="E5" s="40" t="n">
        <x:f>COUNTA(B32:B33)</x:f>
        <x:v>2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10" t="str">
        <x:v>Atributos</x:v>
      </x:c>
      <x:c r="B7" s="10"/>
      <x:c r="C7" s="10"/>
      <x:c r="D7" s="10"/>
      <x:c r="E7" s="10"/>
      <x:c r="F7" s="10"/>
      <x:c r="G7" s="10"/>
      <x:c r="H7" s="10"/>
      <x:c r="I7" s="10"/>
      <x:c r="J7" s="10"/>
    </x:row>
    <x:row r="8" ht="30" customHeight="1">
      <x:c r="A8" s="15" t="str">
        <x:v>Atributo</x:v>
      </x:c>
      <x:c r="B8" s="15" t="str">
        <x:v>Descripción</x:v>
      </x:c>
      <x:c r="C8" s="15" t="str">
        <x:v>Tipo PostgreSQL</x:v>
      </x:c>
      <x:c r="D8" s="15" t="str">
        <x:v>Clave</x:v>
      </x:c>
      <x:c r="E8" s="15" t="str">
        <x:v>Nulo</x:v>
      </x:c>
      <x:c r="F8" s="15" t="str">
        <x:v>Predeterminado</x:v>
      </x:c>
      <x:c r="G8" s="15" t="str">
        <x:v>Dominio o referencia</x:v>
      </x:c>
      <x:c r="H8" s="15" t="str">
        <x:v>Regla o validación</x:v>
      </x:c>
      <x:c r="I8" s="15" t="str">
        <x:v>Responsable</x:v>
      </x:c>
      <x:c r="J8" s="15" t="str">
        <x:v>Naturaleza</x:v>
      </x:c>
    </x:row>
    <x:row r="9" ht="46" customHeight="1">
      <x:c r="A9" s="21" t="str">
        <x:v>idUsuario</x:v>
      </x:c>
      <x:c r="B9" s="21" t="str">
        <x:v>Identificador técnico de la cuenta.</x:v>
      </x:c>
      <x:c r="C9" s="24" t="str">
        <x:v>bigint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nombreCompleto</x:v>
      </x:c>
      <x:c r="B10" s="23" t="str">
        <x:v>Nombre completo de la persona propietaria de la cuenta.</x:v>
      </x:c>
      <x:c r="C10" s="25" t="str">
        <x:v>varchar(120)</x:v>
      </x:c>
      <x:c r="D10" s="25" t="str">
        <x:v>—</x:v>
      </x:c>
      <x:c r="E10" s="25" t="str">
        <x:v>NO</x:v>
      </x:c>
      <x:c r="F10" s="25" t="str">
        <x:v>—</x:v>
      </x:c>
      <x:c r="G10" s="25" t="str">
        <x:v>—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correoElectronico</x:v>
      </x:c>
      <x:c r="B11" s="22" t="str">
        <x:v>Correo utilizado para identificar y contactar al usuario.</x:v>
      </x:c>
      <x:c r="C11" s="26" t="str">
        <x:v>varchar(254)</x:v>
      </x:c>
      <x:c r="D11" s="26" t="str">
        <x:v>UQ</x:v>
      </x:c>
      <x:c r="E11" s="26" t="str">
        <x:v>NO</x:v>
      </x:c>
      <x:c r="F11" s="26" t="str">
        <x:v>—</x:v>
      </x:c>
      <x:c r="G11" s="26" t="str">
        <x:v>—</x:v>
      </x:c>
      <x:c r="H11" s="22" t="str">
        <x:v>No admite duplicados.</x:v>
      </x:c>
      <x:c r="I11" s="26" t="str">
        <x:v>Base de datos</x:v>
      </x:c>
      <x:c r="J11" s="26" t="str">
        <x:v>Negocio</x:v>
      </x:c>
    </x:row>
    <x:row r="12" ht="46" customHeight="1">
      <x:c r="A12" s="23" t="str">
        <x:v>claveHash</x:v>
      </x:c>
      <x:c r="B12" s="23" t="str">
        <x:v>Resultado seguro del algoritmo de hash aplicado a la contraseña; nunca almacena la contraseña original.</x:v>
      </x:c>
      <x:c r="C12" s="25" t="str">
        <x:v>varchar(255)</x:v>
      </x:c>
      <x:c r="D12" s="25" t="str">
        <x:v>—</x:v>
      </x:c>
      <x:c r="E12" s="25" t="str">
        <x:v>NO</x:v>
      </x:c>
      <x:c r="F12" s="25" t="str">
        <x:v>—</x:v>
      </x:c>
      <x:c r="G12" s="25" t="str">
        <x:v>—</x:v>
      </x:c>
      <x:c r="H12" s="23" t="str">
        <x:v>Debe contener únicamente el hash generado por el sistema.</x:v>
      </x:c>
      <x:c r="I12" s="25" t="str">
        <x:v>Aplicación</x:v>
      </x:c>
      <x:c r="J12" s="25" t="str">
        <x:v>Seguridad</x:v>
      </x:c>
    </x:row>
    <x:row r="13" ht="46" customHeight="1">
      <x:c r="A13" s="22" t="str">
        <x:v>estadoCuenta</x:v>
      </x:c>
      <x:c r="B13" s="22" t="str">
        <x:v>Estado operativo actual de la cuenta.</x:v>
      </x:c>
      <x:c r="C13" s="26" t="str">
        <x:v>EstadoCuenta</x:v>
      </x:c>
      <x:c r="D13" s="26" t="str">
        <x:v>—</x:v>
      </x:c>
      <x:c r="E13" s="26" t="str">
        <x:v>NO</x:v>
      </x:c>
      <x:c r="F13" s="26" t="str">
        <x:v>ACTIVA</x:v>
      </x:c>
      <x:c r="G13" s="26" t="str">
        <x:v>Dominio EstadoCuenta</x:v>
      </x:c>
      <x:c r="H13" s="22" t="str">
        <x:v>Debe pertenecer al dominio definido.</x:v>
      </x:c>
      <x:c r="I13" s="26" t="str">
        <x:v>Base de datos</x:v>
      </x:c>
      <x:c r="J13" s="26" t="str">
        <x:v>Negocio</x:v>
      </x:c>
    </x:row>
    <x:row r="14" ht="46" customHeight="1">
      <x:c r="A14" s="23" t="str">
        <x:v>fechaFinRestriccionCuenta</x:v>
      </x:c>
      <x:c r="B14" s="23" t="str">
        <x:v>Instante en que finaliza la restricción o suspensión temporal vigente de la cuenta.</x:v>
      </x:c>
      <x:c r="C14" s="25" t="str">
        <x:v>timestamptz</x:v>
      </x:c>
      <x:c r="D14" s="25" t="str">
        <x:v>—</x:v>
      </x:c>
      <x:c r="E14" s="25" t="str">
        <x:v>SÍ</x:v>
      </x:c>
      <x:c r="F14" s="25" t="str">
        <x:v>—</x:v>
      </x:c>
      <x:c r="G14" s="25" t="str">
        <x:v>estadoCuenta</x:v>
      </x:c>
      <x:c r="H14" s="23" t="str">
        <x:v>La aplicación registra esta fecha cuando la medida sobre la cuenta es temporal.</x:v>
      </x:c>
      <x:c r="I14" s="25" t="str">
        <x:v>Aplicación</x:v>
      </x:c>
      <x:c r="J14" s="25" t="str">
        <x:v>Negocio</x:v>
      </x:c>
    </x:row>
    <x:row r="15" ht="46" customHeight="1">
      <x:c r="A15" s="22" t="str">
        <x:v>fechaRegistro</x:v>
      </x:c>
      <x:c r="B15" s="22" t="str">
        <x:v>Instante en que se creó la cuenta.</x:v>
      </x:c>
      <x:c r="C15" s="26" t="str">
        <x:v>timestamptz</x:v>
      </x:c>
      <x:c r="D15" s="26" t="str">
        <x:v>—</x:v>
      </x:c>
      <x:c r="E15" s="26" t="str">
        <x:v>NO</x:v>
      </x:c>
      <x:c r="F15" s="26" t="str">
        <x:v>CURRENT_TIMESTAMP</x:v>
      </x:c>
      <x:c r="G15" s="26" t="str">
        <x:v>—</x:v>
      </x:c>
      <x:c r="H15" s="22" t="str">
        <x:v>—</x:v>
      </x:c>
      <x:c r="I15" s="26" t="str">
        <x:v>Base de datos</x:v>
      </x:c>
      <x:c r="J15" s="26" t="str">
        <x:v>Auditoría</x:v>
      </x:c>
    </x:row>
    <x:row r="16" ht="46" customHeight="1">
      <x:c r="A16" s="23" t="str">
        <x:v>fechaActualizacion</x:v>
      </x:c>
      <x:c r="B16" s="23" t="str">
        <x:v>Instante de la última modificación registrada en los datos de la cuenta.</x:v>
      </x:c>
      <x:c r="C16" s="25" t="str">
        <x:v>timestamptz</x:v>
      </x:c>
      <x:c r="D16" s="25" t="str">
        <x:v>—</x:v>
      </x:c>
      <x:c r="E16" s="25" t="str">
        <x:v>NO</x:v>
      </x:c>
      <x:c r="F16" s="25" t="str">
        <x:v>CURRENT_TIMESTAMP</x:v>
      </x:c>
      <x:c r="G16" s="25" t="str">
        <x:v>—</x:v>
      </x:c>
      <x:c r="H16" s="23" t="str">
        <x:v>La aplicación actualiza este valor cada vez que modifica el registro.</x:v>
      </x:c>
      <x:c r="I16" s="25" t="str">
        <x:v>Aplicación</x:v>
      </x:c>
      <x:c r="J16" s="25" t="str">
        <x:v>Auditoría</x:v>
      </x:c>
    </x:row>
    <x:row r="18" ht="24" customHeight="1">
      <x:c r="A18" s="10" t="str">
        <x:v>Relaciones directas</x:v>
      </x:c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 ht="30" customHeight="1">
      <x:c r="A19" s="15" t="str">
        <x:v>Relación</x:v>
      </x:c>
      <x:c r="B19" s="15" t="str">
        <x:v>Origen</x:v>
      </x:c>
      <x:c r="C19" s="15" t="str">
        <x:v>Destino</x:v>
      </x:c>
      <x:c r="D19" s="15" t="str">
        <x:v>Cardinalidad</x:v>
      </x:c>
      <x:c r="E19" s="15" t="str">
        <x:v>FK en destino</x:v>
      </x:c>
      <x:c r="F19" s="15" t="str">
        <x:v>ON DELETE</x:v>
      </x:c>
      <x:c r="G19" s="15" t="str">
        <x:v>Significado</x:v>
      </x:c>
    </x:row>
    <x:row r="20" ht="42" customHeight="1">
      <x:c r="A20" s="21" t="str">
        <x:v>usuarioAdministrador</x:v>
      </x:c>
      <x:c r="B20" s="24" t="str">
        <x:v>Usuario</x:v>
      </x:c>
      <x:c r="C20" s="24" t="str">
        <x:v>Administrador</x:v>
      </x:c>
      <x:c r="D20" s="24" t="str">
        <x:v>1 a 0..1</x:v>
      </x:c>
      <x:c r="E20" s="24" t="str">
        <x:v>Administrador.idAdministrador</x:v>
      </x:c>
      <x:c r="F20" s="24" t="str">
        <x:v>CASCADE</x:v>
      </x:c>
      <x:c r="G20" s="21" t="str">
        <x:v>Un usuario puede recibir permisos administrativos.</x:v>
      </x:c>
    </x:row>
    <x:row r="21" ht="42" customHeight="1">
      <x:c r="A21" s="23" t="str">
        <x:v>usuarioPerfilPrestador</x:v>
      </x:c>
      <x:c r="B21" s="25" t="str">
        <x:v>Usuario</x:v>
      </x:c>
      <x:c r="C21" s="25" t="str">
        <x:v>PerfilPrestador</x:v>
      </x:c>
      <x:c r="D21" s="25" t="str">
        <x:v>1 a 0..1</x:v>
      </x:c>
      <x:c r="E21" s="25" t="str">
        <x:v>PerfilPrestador.idPrestador</x:v>
      </x:c>
      <x:c r="F21" s="25" t="str">
        <x:v>CASCADE</x:v>
      </x:c>
      <x:c r="G21" s="23" t="str">
        <x:v>Un usuario puede crear como máximo un perfil de prestador.</x:v>
      </x:c>
    </x:row>
    <x:row r="22" ht="42" customHeight="1">
      <x:c r="A22" s="22" t="str">
        <x:v>usuarioSolicitudServicio</x:v>
      </x:c>
      <x:c r="B22" s="26" t="str">
        <x:v>Usuario</x:v>
      </x:c>
      <x:c r="C22" s="26" t="str">
        <x:v>SolicitudServicio</x:v>
      </x:c>
      <x:c r="D22" s="26" t="str">
        <x:v>1 a 0..N</x:v>
      </x:c>
      <x:c r="E22" s="26" t="str">
        <x:v>SolicitudServicio.idCliente</x:v>
      </x:c>
      <x:c r="F22" s="26" t="str">
        <x:v>RESTRICT</x:v>
      </x:c>
      <x:c r="G22" s="22" t="str">
        <x:v>Un usuario puede enviar varias solicitudes como cliente.</x:v>
      </x:c>
    </x:row>
    <x:row r="23" ht="42" customHeight="1">
      <x:c r="A23" s="23" t="str">
        <x:v>usuarioCambioEstadoSolicitud</x:v>
      </x:c>
      <x:c r="B23" s="25" t="str">
        <x:v>Usuario</x:v>
      </x:c>
      <x:c r="C23" s="25" t="str">
        <x:v>CambioEstadoSolicitud</x:v>
      </x:c>
      <x:c r="D23" s="25" t="str">
        <x:v>1 a 0..N</x:v>
      </x:c>
      <x:c r="E23" s="25" t="str">
        <x:v>CambioEstadoSolicitud.idActor</x:v>
      </x:c>
      <x:c r="F23" s="25" t="str">
        <x:v>RESTRICT</x:v>
      </x:c>
      <x:c r="G23" s="23" t="str">
        <x:v>Cada cambio identifica al usuario que lo ejecutó.</x:v>
      </x:c>
    </x:row>
    <x:row r="24" ht="42" customHeight="1">
      <x:c r="A24" s="22" t="str">
        <x:v>usuarioMensajeSolicitud</x:v>
      </x:c>
      <x:c r="B24" s="26" t="str">
        <x:v>Usuario</x:v>
      </x:c>
      <x:c r="C24" s="26" t="str">
        <x:v>MensajeSolicitud</x:v>
      </x:c>
      <x:c r="D24" s="26" t="str">
        <x:v>1 a 0..N</x:v>
      </x:c>
      <x:c r="E24" s="26" t="str">
        <x:v>MensajeSolicitud.idRemitente</x:v>
      </x:c>
      <x:c r="F24" s="26" t="str">
        <x:v>RESTRICT</x:v>
      </x:c>
      <x:c r="G24" s="22" t="str">
        <x:v>Cada mensaje tiene un remitente.</x:v>
      </x:c>
    </x:row>
    <x:row r="25" ht="42" customHeight="1">
      <x:c r="A25" s="23" t="str">
        <x:v>usuarioCalificacionEmitida</x:v>
      </x:c>
      <x:c r="B25" s="25" t="str">
        <x:v>Usuario</x:v>
      </x:c>
      <x:c r="C25" s="25" t="str">
        <x:v>CalificacionUsuario</x:v>
      </x:c>
      <x:c r="D25" s="25" t="str">
        <x:v>1 a 0..N</x:v>
      </x:c>
      <x:c r="E25" s="25" t="str">
        <x:v>CalificacionUsuario.idCalificador</x:v>
      </x:c>
      <x:c r="F25" s="25" t="str">
        <x:v>RESTRICT</x:v>
      </x:c>
      <x:c r="G25" s="23" t="str">
        <x:v>Un usuario puede emitir varias calificaciones.</x:v>
      </x:c>
    </x:row>
    <x:row r="26" ht="42" customHeight="1">
      <x:c r="A26" s="22" t="str">
        <x:v>usuarioCalificacionRecibida</x:v>
      </x:c>
      <x:c r="B26" s="26" t="str">
        <x:v>Usuario</x:v>
      </x:c>
      <x:c r="C26" s="26" t="str">
        <x:v>CalificacionUsuario</x:v>
      </x:c>
      <x:c r="D26" s="26" t="str">
        <x:v>1 a 0..N</x:v>
      </x:c>
      <x:c r="E26" s="26" t="str">
        <x:v>CalificacionUsuario.idCalificado</x:v>
      </x:c>
      <x:c r="F26" s="26" t="str">
        <x:v>RESTRICT</x:v>
      </x:c>
      <x:c r="G26" s="22" t="str">
        <x:v>Un usuario puede recibir varias calificaciones.</x:v>
      </x:c>
    </x:row>
    <x:row r="27" ht="42" customHeight="1">
      <x:c r="A27" s="23" t="str">
        <x:v>usuarioReportePresentado</x:v>
      </x:c>
      <x:c r="B27" s="25" t="str">
        <x:v>Usuario</x:v>
      </x:c>
      <x:c r="C27" s="25" t="str">
        <x:v>ReporteUsuario</x:v>
      </x:c>
      <x:c r="D27" s="25" t="str">
        <x:v>1 a 0..N</x:v>
      </x:c>
      <x:c r="E27" s="25" t="str">
        <x:v>ReporteUsuario.idReportante</x:v>
      </x:c>
      <x:c r="F27" s="25" t="str">
        <x:v>RESTRICT</x:v>
      </x:c>
      <x:c r="G27" s="23" t="str">
        <x:v>Un usuario puede presentar varios reportes.</x:v>
      </x:c>
    </x:row>
    <x:row r="28" ht="42" customHeight="1">
      <x:c r="A28" s="22" t="str">
        <x:v>usuarioReporteRecibido</x:v>
      </x:c>
      <x:c r="B28" s="26" t="str">
        <x:v>Usuario</x:v>
      </x:c>
      <x:c r="C28" s="26" t="str">
        <x:v>ReporteUsuario</x:v>
      </x:c>
      <x:c r="D28" s="26" t="str">
        <x:v>1 a 0..N</x:v>
      </x:c>
      <x:c r="E28" s="26" t="str">
        <x:v>ReporteUsuario.idReportado</x:v>
      </x:c>
      <x:c r="F28" s="26" t="str">
        <x:v>RESTRICT</x:v>
      </x:c>
      <x:c r="G28" s="22" t="str">
        <x:v>Un usuario puede ser reportado varias veces.</x:v>
      </x:c>
    </x:row>
    <x:row r="30" ht="24" customHeight="1">
      <x:c r="A30" s="10" t="str">
        <x:v>Restricciones implementadas en la base de datos</x:v>
      </x:c>
      <x:c r="B30" s="10"/>
      <x:c r="C30" s="10"/>
      <x:c r="D30" s="10"/>
      <x:c r="E30" s="10"/>
      <x:c r="F30" s="10"/>
      <x:c r="G30" s="10"/>
      <x:c r="H30" s="10"/>
      <x:c r="I30" s="10"/>
      <x:c r="J30" s="10"/>
    </x:row>
    <x:row r="31" ht="30" customHeight="1">
      <x:c r="A31" s="15" t="str">
        <x:v>Tipo</x:v>
      </x:c>
      <x:c r="B31" s="15" t="str">
        <x:v>Nombre</x:v>
      </x:c>
      <x:c r="C31" s="15" t="str">
        <x:v>Columnas</x:v>
      </x:c>
      <x:c r="D31" s="15" t="str">
        <x:v>Regla</x:v>
      </x:c>
      <x:c r="E31" s="15" t="str">
        <x:v>Capa</x:v>
      </x:c>
    </x:row>
    <x:row r="32" ht="38" customHeight="1">
      <x:c r="A32" s="24" t="str">
        <x:v>PK</x:v>
      </x:c>
      <x:c r="B32" s="24" t="str">
        <x:v>pkUsuario</x:v>
      </x:c>
      <x:c r="C32" s="24" t="str">
        <x:v>idUsuario</x:v>
      </x:c>
      <x:c r="D32" s="21" t="str">
        <x:v>Identificador único de Usuario.</x:v>
      </x:c>
      <x:c r="E32" s="24" t="str">
        <x:v>Base de datos</x:v>
      </x:c>
    </x:row>
    <x:row r="33" ht="38" customHeight="1">
      <x:c r="A33" s="25" t="str">
        <x:v>UQ</x:v>
      </x:c>
      <x:c r="B33" s="25" t="str">
        <x:v>uqUsuarioCorreoElectronico</x:v>
      </x:c>
      <x:c r="C33" s="25" t="str">
        <x:v>correoElectronico</x:v>
      </x:c>
      <x:c r="D33" s="23" t="str">
        <x:v>No admite dos cuentas con el mismo correo.</x:v>
      </x:c>
      <x:c r="E33" s="25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8:J18"/>
    <x:mergeCell ref="A30:J3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Administrador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Extensión de Usuario que identifica las cuentas con permisos para revisar reportes y aplicar medidas administrativas.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5" t="str">
        <x:v>Bloque</x:v>
      </x:c>
      <x:c r="B4" s="35" t="str">
        <x:v>Usuarios y acceso</x:v>
      </x:c>
      <x:c r="C4" s="36"/>
      <x:c r="D4" s="15" t="str">
        <x:v>Naturaleza</x:v>
      </x:c>
      <x:c r="E4" s="35" t="str">
        <x:v>Especialización 0..1</x:v>
      </x:c>
      <x:c r="F4" s="36"/>
      <x:c r="G4" s="15" t="str">
        <x:v>Clave primaria</x:v>
      </x:c>
      <x:c r="H4" s="40" t="str">
        <x:v>idAdministrador</x:v>
      </x:c>
      <x:c r="I4" s="15" t="str">
        <x:v>Atributos</x:v>
      </x:c>
      <x:c r="J4" s="40" t="n">
        <x:f>COUNTA(A9:A10)</x:f>
        <x:v>2</x:v>
      </x:c>
    </x:row>
    <x:row r="5" ht="30" customHeight="1">
      <x:c r="A5" s="15" t="str">
        <x:v>Relaciones</x:v>
      </x:c>
      <x:c r="B5" s="40" t="n">
        <x:f>COUNTA(A14:A15)</x:f>
        <x:v>2</x:v>
      </x:c>
      <x:c r="D5" s="15" t="str">
        <x:v>Restricciones BD</x:v>
      </x:c>
      <x:c r="E5" s="40" t="n">
        <x:f>COUNTA(B19:B19)</x:f>
        <x:v>1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10" t="str">
        <x:v>Atributos</x:v>
      </x:c>
      <x:c r="B7" s="10"/>
      <x:c r="C7" s="10"/>
      <x:c r="D7" s="10"/>
      <x:c r="E7" s="10"/>
      <x:c r="F7" s="10"/>
      <x:c r="G7" s="10"/>
      <x:c r="H7" s="10"/>
      <x:c r="I7" s="10"/>
      <x:c r="J7" s="10"/>
    </x:row>
    <x:row r="8" ht="30" customHeight="1">
      <x:c r="A8" s="15" t="str">
        <x:v>Atributo</x:v>
      </x:c>
      <x:c r="B8" s="15" t="str">
        <x:v>Descripción</x:v>
      </x:c>
      <x:c r="C8" s="15" t="str">
        <x:v>Tipo PostgreSQL</x:v>
      </x:c>
      <x:c r="D8" s="15" t="str">
        <x:v>Clave</x:v>
      </x:c>
      <x:c r="E8" s="15" t="str">
        <x:v>Nulo</x:v>
      </x:c>
      <x:c r="F8" s="15" t="str">
        <x:v>Predeterminado</x:v>
      </x:c>
      <x:c r="G8" s="15" t="str">
        <x:v>Dominio o referencia</x:v>
      </x:c>
      <x:c r="H8" s="15" t="str">
        <x:v>Regla o validación</x:v>
      </x:c>
      <x:c r="I8" s="15" t="str">
        <x:v>Responsable</x:v>
      </x:c>
      <x:c r="J8" s="15" t="str">
        <x:v>Naturaleza</x:v>
      </x:c>
    </x:row>
    <x:row r="9" ht="46" customHeight="1">
      <x:c r="A9" s="21" t="str">
        <x:v>idAdministrador</x:v>
      </x:c>
      <x:c r="B9" s="21" t="str">
        <x:v>Identificador del usuario que posee permisos administrativos.</x:v>
      </x:c>
      <x:c r="C9" s="24" t="str">
        <x:v>bigint</x:v>
      </x:c>
      <x:c r="D9" s="24" t="str">
        <x:v>PK/FK</x:v>
      </x:c>
      <x:c r="E9" s="24" t="str">
        <x:v>NO</x:v>
      </x:c>
      <x:c r="F9" s="24" t="str">
        <x:v>—</x:v>
      </x:c>
      <x:c r="G9" s="24" t="str">
        <x:v>Usuario.idUsuario</x:v>
      </x:c>
      <x:c r="H9" s="21" t="str">
        <x:v>Una cuenta solo puede tener un registro de Administrador.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fechaAsignacion</x:v>
      </x:c>
      <x:c r="B10" s="23" t="str">
        <x:v>Instante en que se asignaron los permisos administrativos.</x:v>
      </x:c>
      <x:c r="C10" s="25" t="str">
        <x:v>timestamptz</x:v>
      </x:c>
      <x:c r="D10" s="25" t="str">
        <x:v>—</x:v>
      </x:c>
      <x:c r="E10" s="25" t="str">
        <x:v>NO</x:v>
      </x:c>
      <x:c r="F10" s="25" t="str">
        <x:v>CURRENT_TIMESTAMP</x:v>
      </x:c>
      <x:c r="G10" s="25" t="str">
        <x:v>—</x:v>
      </x:c>
      <x:c r="H10" s="23" t="str">
        <x:v>—</x:v>
      </x:c>
      <x:c r="I10" s="25" t="str">
        <x:v>Base de datos</x:v>
      </x:c>
      <x:c r="J10" s="25" t="str">
        <x:v>Auditoría</x:v>
      </x:c>
    </x:row>
    <x:row r="12" ht="24" customHeight="1">
      <x:c r="A12" s="10" t="str">
        <x:v>Relaciones directas</x:v>
      </x:c>
      <x:c r="B12" s="10"/>
      <x:c r="C12" s="10"/>
      <x:c r="D12" s="10"/>
      <x:c r="E12" s="10"/>
      <x:c r="F12" s="10"/>
      <x:c r="G12" s="10"/>
      <x:c r="H12" s="10"/>
      <x:c r="I12" s="10"/>
      <x:c r="J12" s="10"/>
    </x:row>
    <x:row r="13" ht="30" customHeight="1">
      <x:c r="A13" s="15" t="str">
        <x:v>Relación</x:v>
      </x:c>
      <x:c r="B13" s="15" t="str">
        <x:v>Origen</x:v>
      </x:c>
      <x:c r="C13" s="15" t="str">
        <x:v>Destino</x:v>
      </x:c>
      <x:c r="D13" s="15" t="str">
        <x:v>Cardinalidad</x:v>
      </x:c>
      <x:c r="E13" s="15" t="str">
        <x:v>FK en destino</x:v>
      </x:c>
      <x:c r="F13" s="15" t="str">
        <x:v>ON DELETE</x:v>
      </x:c>
      <x:c r="G13" s="15" t="str">
        <x:v>Significado</x:v>
      </x:c>
    </x:row>
    <x:row r="14" ht="42" customHeight="1">
      <x:c r="A14" s="21" t="str">
        <x:v>usuarioAdministrador</x:v>
      </x:c>
      <x:c r="B14" s="24" t="str">
        <x:v>Usuario</x:v>
      </x:c>
      <x:c r="C14" s="24" t="str">
        <x:v>Administrador</x:v>
      </x:c>
      <x:c r="D14" s="24" t="str">
        <x:v>1 a 0..1</x:v>
      </x:c>
      <x:c r="E14" s="24" t="str">
        <x:v>Administrador.idAdministrador</x:v>
      </x:c>
      <x:c r="F14" s="24" t="str">
        <x:v>CASCADE</x:v>
      </x:c>
      <x:c r="G14" s="21" t="str">
        <x:v>Un usuario puede recibir permisos administrativos.</x:v>
      </x:c>
    </x:row>
    <x:row r="15" ht="42" customHeight="1">
      <x:c r="A15" s="23" t="str">
        <x:v>administradorReporteUsuario</x:v>
      </x:c>
      <x:c r="B15" s="25" t="str">
        <x:v>Administrador</x:v>
      </x:c>
      <x:c r="C15" s="25" t="str">
        <x:v>ReporteUsuario</x:v>
      </x:c>
      <x:c r="D15" s="25" t="str">
        <x:v>1 a 0..N; reporte 0..1</x:v>
      </x:c>
      <x:c r="E15" s="25" t="str">
        <x:v>ReporteUsuario.idAdministradorResponsable</x:v>
      </x:c>
      <x:c r="F15" s="25" t="str">
        <x:v>RESTRICT</x:v>
      </x:c>
      <x:c r="G15" s="23" t="str">
        <x:v>Un reporte puede asignarse a un administrador responsable.</x:v>
      </x:c>
    </x:row>
    <x:row r="17" ht="24" customHeight="1">
      <x:c r="A17" s="10" t="str">
        <x:v>Restricciones implementadas en la base de datos</x:v>
      </x:c>
      <x:c r="B17" s="10"/>
      <x:c r="C17" s="10"/>
      <x:c r="D17" s="10"/>
      <x:c r="E17" s="10"/>
      <x:c r="F17" s="10"/>
      <x:c r="G17" s="10"/>
      <x:c r="H17" s="10"/>
      <x:c r="I17" s="10"/>
      <x:c r="J17" s="10"/>
    </x:row>
    <x:row r="18" ht="30" customHeight="1">
      <x:c r="A18" s="15" t="str">
        <x:v>Tipo</x:v>
      </x:c>
      <x:c r="B18" s="15" t="str">
        <x:v>Nombre</x:v>
      </x:c>
      <x:c r="C18" s="15" t="str">
        <x:v>Columnas</x:v>
      </x:c>
      <x:c r="D18" s="15" t="str">
        <x:v>Regla</x:v>
      </x:c>
      <x:c r="E18" s="15" t="str">
        <x:v>Capa</x:v>
      </x:c>
    </x:row>
    <x:row r="19" ht="38" customHeight="1">
      <x:c r="A19" s="24" t="str">
        <x:v>PK</x:v>
      </x:c>
      <x:c r="B19" s="24" t="str">
        <x:v>pkAdministrador</x:v>
      </x:c>
      <x:c r="C19" s="24" t="str">
        <x:v>idAdministrador</x:v>
      </x:c>
      <x:c r="D19" s="21" t="str">
        <x:v>Identificador único y compartido con Usuario.</x:v>
      </x:c>
      <x:c r="E19" s="24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2:J12"/>
    <x:mergeCell ref="A17:J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Departamento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Catálogo de departamentos. Permite habilitar territorialmente el servicio; en el MVP se habilita Managua.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57" t="str">
        <x:v>Bloque</x:v>
      </x:c>
      <x:c r="B4" s="35" t="str">
        <x:v>Ubicaciones</x:v>
      </x:c>
      <x:c r="C4" s="36"/>
      <x:c r="D4" s="57" t="str">
        <x:v>Naturaleza</x:v>
      </x:c>
      <x:c r="E4" s="35" t="str">
        <x:v>Catálogo</x:v>
      </x:c>
      <x:c r="F4" s="36"/>
      <x:c r="G4" s="57" t="str">
        <x:v>Clave primaria</x:v>
      </x:c>
      <x:c r="H4" s="40" t="str">
        <x:v>idDepartamento</x:v>
      </x:c>
      <x:c r="I4" s="57" t="str">
        <x:v>Atributos</x:v>
      </x:c>
      <x:c r="J4" s="40" t="n">
        <x:f>COUNTA(A9:A11)</x:f>
        <x:v>3</x:v>
      </x:c>
    </x:row>
    <x:row r="5" ht="30" customHeight="1">
      <x:c r="A5" s="57" t="str">
        <x:v>Relaciones</x:v>
      </x:c>
      <x:c r="B5" s="40" t="n">
        <x:f>COUNTA(A15:A15)</x:f>
        <x:v>1</x:v>
      </x:c>
      <x:c r="D5" s="57" t="str">
        <x:v>Restricciones BD</x:v>
      </x:c>
      <x:c r="E5" s="40" t="n">
        <x:f>COUNTA(B19:B20)</x:f>
        <x:v>2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59" t="str">
        <x:v>Atributos</x:v>
      </x:c>
      <x:c r="B7" s="59"/>
      <x:c r="C7" s="59"/>
      <x:c r="D7" s="59"/>
      <x:c r="E7" s="59"/>
      <x:c r="F7" s="59"/>
      <x:c r="G7" s="59"/>
      <x:c r="H7" s="59"/>
      <x:c r="I7" s="59"/>
      <x:c r="J7" s="59"/>
    </x:row>
    <x:row r="8" ht="30" customHeight="1">
      <x:c r="A8" s="57" t="str">
        <x:v>Atributo</x:v>
      </x:c>
      <x:c r="B8" s="57" t="str">
        <x:v>Descripción</x:v>
      </x:c>
      <x:c r="C8" s="57" t="str">
        <x:v>Tipo PostgreSQL</x:v>
      </x:c>
      <x:c r="D8" s="57" t="str">
        <x:v>Clave</x:v>
      </x:c>
      <x:c r="E8" s="57" t="str">
        <x:v>Nulo</x:v>
      </x:c>
      <x:c r="F8" s="57" t="str">
        <x:v>Predeterminado</x:v>
      </x:c>
      <x:c r="G8" s="57" t="str">
        <x:v>Dominio o referencia</x:v>
      </x:c>
      <x:c r="H8" s="57" t="str">
        <x:v>Regla o validación</x:v>
      </x:c>
      <x:c r="I8" s="57" t="str">
        <x:v>Responsable</x:v>
      </x:c>
      <x:c r="J8" s="57" t="str">
        <x:v>Naturaleza</x:v>
      </x:c>
    </x:row>
    <x:row r="9" ht="46" customHeight="1">
      <x:c r="A9" s="21" t="str">
        <x:v>idDepartamento</x:v>
      </x:c>
      <x:c r="B9" s="21" t="str">
        <x:v>Identificador técnico del departamento.</x:v>
      </x:c>
      <x:c r="C9" s="24" t="str">
        <x:v>smallint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nombre</x:v>
      </x:c>
      <x:c r="B10" s="23" t="str">
        <x:v>Nombre oficial del departamento.</x:v>
      </x:c>
      <x:c r="C10" s="25" t="str">
        <x:v>varchar(80)</x:v>
      </x:c>
      <x:c r="D10" s="25" t="str">
        <x:v>UQ</x:v>
      </x:c>
      <x:c r="E10" s="25" t="str">
        <x:v>NO</x:v>
      </x:c>
      <x:c r="F10" s="25" t="str">
        <x:v>—</x:v>
      </x:c>
      <x:c r="G10" s="25" t="str">
        <x:v>—</x:v>
      </x:c>
      <x:c r="H10" s="23" t="str">
        <x:v>No admite duplicados.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habilitado</x:v>
      </x:c>
      <x:c r="B11" s="22" t="str">
        <x:v>Indica si Moica permite operar en el departamento.</x:v>
      </x:c>
      <x:c r="C11" s="26" t="str">
        <x:v>boolean</x:v>
      </x:c>
      <x:c r="D11" s="26" t="str">
        <x:v>—</x:v>
      </x:c>
      <x:c r="E11" s="26" t="str">
        <x:v>NO</x:v>
      </x:c>
      <x:c r="F11" s="26" t="str">
        <x:v>FALSE</x:v>
      </x:c>
      <x:c r="G11" s="26" t="str">
        <x:v>—</x:v>
      </x:c>
      <x:c r="H11" s="22" t="str">
        <x:v>En el MVP únicamente Managua estará habilitado.</x:v>
      </x:c>
      <x:c r="I11" s="26" t="str">
        <x:v>Aplicación</x:v>
      </x:c>
      <x:c r="J11" s="26" t="str">
        <x:v>Negocio</x:v>
      </x:c>
    </x:row>
    <x:row r="13" ht="24" customHeight="1">
      <x:c r="A13" s="59" t="str">
        <x:v>Relaciones directas</x:v>
      </x:c>
      <x:c r="B13" s="59"/>
      <x:c r="C13" s="59"/>
      <x:c r="D13" s="59"/>
      <x:c r="E13" s="59"/>
      <x:c r="F13" s="59"/>
      <x:c r="G13" s="59"/>
      <x:c r="H13" s="59"/>
      <x:c r="I13" s="59"/>
      <x:c r="J13" s="59"/>
    </x:row>
    <x:row r="14" ht="30" customHeight="1">
      <x:c r="A14" s="57" t="str">
        <x:v>Relación</x:v>
      </x:c>
      <x:c r="B14" s="57" t="str">
        <x:v>Origen</x:v>
      </x:c>
      <x:c r="C14" s="57" t="str">
        <x:v>Destino</x:v>
      </x:c>
      <x:c r="D14" s="57" t="str">
        <x:v>Cardinalidad</x:v>
      </x:c>
      <x:c r="E14" s="57" t="str">
        <x:v>FK en destino</x:v>
      </x:c>
      <x:c r="F14" s="57" t="str">
        <x:v>ON DELETE</x:v>
      </x:c>
      <x:c r="G14" s="57" t="str">
        <x:v>Significado</x:v>
      </x:c>
    </x:row>
    <x:row r="15" ht="42" customHeight="1">
      <x:c r="A15" s="21" t="str">
        <x:v>departamentoMunicipio</x:v>
      </x:c>
      <x:c r="B15" s="24" t="str">
        <x:v>Departamento</x:v>
      </x:c>
      <x:c r="C15" s="24" t="str">
        <x:v>Municipio</x:v>
      </x:c>
      <x:c r="D15" s="24" t="str">
        <x:v>1 a 0..N</x:v>
      </x:c>
      <x:c r="E15" s="24" t="str">
        <x:v>Municipio.idDepartamento</x:v>
      </x:c>
      <x:c r="F15" s="24" t="str">
        <x:v>RESTRICT</x:v>
      </x:c>
      <x:c r="G15" s="21" t="str">
        <x:v>Cada municipio pertenece a un departamento.</x:v>
      </x:c>
    </x:row>
    <x:row r="17" ht="24" customHeight="1">
      <x:c r="A17" s="59" t="str">
        <x:v>Restricciones implementadas en la base de datos</x:v>
      </x:c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 ht="30" customHeight="1">
      <x:c r="A18" s="57" t="str">
        <x:v>Tipo</x:v>
      </x:c>
      <x:c r="B18" s="57" t="str">
        <x:v>Nombre</x:v>
      </x:c>
      <x:c r="C18" s="57" t="str">
        <x:v>Columnas</x:v>
      </x:c>
      <x:c r="D18" s="57" t="str">
        <x:v>Regla</x:v>
      </x:c>
      <x:c r="E18" s="57" t="str">
        <x:v>Capa</x:v>
      </x:c>
    </x:row>
    <x:row r="19" ht="38" customHeight="1">
      <x:c r="A19" s="24" t="str">
        <x:v>PK</x:v>
      </x:c>
      <x:c r="B19" s="24" t="str">
        <x:v>pkDepartamento</x:v>
      </x:c>
      <x:c r="C19" s="24" t="str">
        <x:v>idDepartamento</x:v>
      </x:c>
      <x:c r="D19" s="21" t="str">
        <x:v>Identificador único de Departamento.</x:v>
      </x:c>
      <x:c r="E19" s="24" t="str">
        <x:v>Base de datos</x:v>
      </x:c>
    </x:row>
    <x:row r="20" ht="38" customHeight="1">
      <x:c r="A20" s="25" t="str">
        <x:v>UQ</x:v>
      </x:c>
      <x:c r="B20" s="25" t="str">
        <x:v>uqDepartamentoNombre</x:v>
      </x:c>
      <x:c r="C20" s="25" t="str">
        <x:v>nombre</x:v>
      </x:c>
      <x:c r="D20" s="23" t="str">
        <x:v>No admite departamentos duplicados.</x:v>
      </x:c>
      <x:c r="E20" s="25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3:J13"/>
    <x:mergeCell ref="A17:J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Municipio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Catálogo de municipios pertenecientes a un departamento y utilizados para ubicar perfiles y solicitudes.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57" t="str">
        <x:v>Bloque</x:v>
      </x:c>
      <x:c r="B4" s="35" t="str">
        <x:v>Ubicaciones</x:v>
      </x:c>
      <x:c r="C4" s="36"/>
      <x:c r="D4" s="57" t="str">
        <x:v>Naturaleza</x:v>
      </x:c>
      <x:c r="E4" s="35" t="str">
        <x:v>Catálogo</x:v>
      </x:c>
      <x:c r="F4" s="36"/>
      <x:c r="G4" s="57" t="str">
        <x:v>Clave primaria</x:v>
      </x:c>
      <x:c r="H4" s="40" t="str">
        <x:v>idMunicipio</x:v>
      </x:c>
      <x:c r="I4" s="57" t="str">
        <x:v>Atributos</x:v>
      </x:c>
      <x:c r="J4" s="40" t="n">
        <x:f>COUNTA(A9:A11)</x:f>
        <x:v>3</x:v>
      </x:c>
    </x:row>
    <x:row r="5" ht="30" customHeight="1">
      <x:c r="A5" s="57" t="str">
        <x:v>Relaciones</x:v>
      </x:c>
      <x:c r="B5" s="40" t="n">
        <x:f>COUNTA(A15:A17)</x:f>
        <x:v>3</x:v>
      </x:c>
      <x:c r="D5" s="57" t="str">
        <x:v>Restricciones BD</x:v>
      </x:c>
      <x:c r="E5" s="40" t="n">
        <x:f>COUNTA(B21:B22)</x:f>
        <x:v>2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59" t="str">
        <x:v>Atributos</x:v>
      </x:c>
      <x:c r="B7" s="59"/>
      <x:c r="C7" s="59"/>
      <x:c r="D7" s="59"/>
      <x:c r="E7" s="59"/>
      <x:c r="F7" s="59"/>
      <x:c r="G7" s="59"/>
      <x:c r="H7" s="59"/>
      <x:c r="I7" s="59"/>
      <x:c r="J7" s="59"/>
    </x:row>
    <x:row r="8" ht="30" customHeight="1">
      <x:c r="A8" s="57" t="str">
        <x:v>Atributo</x:v>
      </x:c>
      <x:c r="B8" s="57" t="str">
        <x:v>Descripción</x:v>
      </x:c>
      <x:c r="C8" s="57" t="str">
        <x:v>Tipo PostgreSQL</x:v>
      </x:c>
      <x:c r="D8" s="57" t="str">
        <x:v>Clave</x:v>
      </x:c>
      <x:c r="E8" s="57" t="str">
        <x:v>Nulo</x:v>
      </x:c>
      <x:c r="F8" s="57" t="str">
        <x:v>Predeterminado</x:v>
      </x:c>
      <x:c r="G8" s="57" t="str">
        <x:v>Dominio o referencia</x:v>
      </x:c>
      <x:c r="H8" s="57" t="str">
        <x:v>Regla o validación</x:v>
      </x:c>
      <x:c r="I8" s="57" t="str">
        <x:v>Responsable</x:v>
      </x:c>
      <x:c r="J8" s="57" t="str">
        <x:v>Naturaleza</x:v>
      </x:c>
    </x:row>
    <x:row r="9" ht="46" customHeight="1">
      <x:c r="A9" s="21" t="str">
        <x:v>idMunicipio</x:v>
      </x:c>
      <x:c r="B9" s="21" t="str">
        <x:v>Identificador técnico del municipio.</x:v>
      </x:c>
      <x:c r="C9" s="24" t="str">
        <x:v>integer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idDepartamento</x:v>
      </x:c>
      <x:c r="B10" s="23" t="str">
        <x:v>Departamento al que pertenece el municipio.</x:v>
      </x:c>
      <x:c r="C10" s="25" t="str">
        <x:v>smallint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Departamento.idDepartamento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nombre</x:v>
      </x:c>
      <x:c r="B11" s="22" t="str">
        <x:v>Nombre oficial del municipio.</x:v>
      </x:c>
      <x:c r="C11" s="26" t="str">
        <x:v>varchar(100)</x:v>
      </x:c>
      <x:c r="D11" s="26" t="str">
        <x:v>UQ compuesta</x:v>
      </x:c>
      <x:c r="E11" s="26" t="str">
        <x:v>NO</x:v>
      </x:c>
      <x:c r="F11" s="26" t="str">
        <x:v>—</x:v>
      </x:c>
      <x:c r="G11" s="26" t="str">
        <x:v>—</x:v>
      </x:c>
      <x:c r="H11" s="22" t="str">
        <x:v>No se repite dentro del mismo departamento.</x:v>
      </x:c>
      <x:c r="I11" s="26" t="str">
        <x:v>Base de datos</x:v>
      </x:c>
      <x:c r="J11" s="26" t="str">
        <x:v>Negocio</x:v>
      </x:c>
    </x:row>
    <x:row r="13" ht="24" customHeight="1">
      <x:c r="A13" s="59" t="str">
        <x:v>Relaciones directas</x:v>
      </x:c>
      <x:c r="B13" s="59"/>
      <x:c r="C13" s="59"/>
      <x:c r="D13" s="59"/>
      <x:c r="E13" s="59"/>
      <x:c r="F13" s="59"/>
      <x:c r="G13" s="59"/>
      <x:c r="H13" s="59"/>
      <x:c r="I13" s="59"/>
      <x:c r="J13" s="59"/>
    </x:row>
    <x:row r="14" ht="30" customHeight="1">
      <x:c r="A14" s="57" t="str">
        <x:v>Relación</x:v>
      </x:c>
      <x:c r="B14" s="57" t="str">
        <x:v>Origen</x:v>
      </x:c>
      <x:c r="C14" s="57" t="str">
        <x:v>Destino</x:v>
      </x:c>
      <x:c r="D14" s="57" t="str">
        <x:v>Cardinalidad</x:v>
      </x:c>
      <x:c r="E14" s="57" t="str">
        <x:v>FK en destino</x:v>
      </x:c>
      <x:c r="F14" s="57" t="str">
        <x:v>ON DELETE</x:v>
      </x:c>
      <x:c r="G14" s="57" t="str">
        <x:v>Significado</x:v>
      </x:c>
    </x:row>
    <x:row r="15" ht="42" customHeight="1">
      <x:c r="A15" s="21" t="str">
        <x:v>departamentoMunicipio</x:v>
      </x:c>
      <x:c r="B15" s="24" t="str">
        <x:v>Departamento</x:v>
      </x:c>
      <x:c r="C15" s="24" t="str">
        <x:v>Municipio</x:v>
      </x:c>
      <x:c r="D15" s="24" t="str">
        <x:v>1 a 0..N</x:v>
      </x:c>
      <x:c r="E15" s="24" t="str">
        <x:v>Municipio.idDepartamento</x:v>
      </x:c>
      <x:c r="F15" s="24" t="str">
        <x:v>RESTRICT</x:v>
      </x:c>
      <x:c r="G15" s="21" t="str">
        <x:v>Cada municipio pertenece a un departamento.</x:v>
      </x:c>
    </x:row>
    <x:row r="16" ht="42" customHeight="1">
      <x:c r="A16" s="23" t="str">
        <x:v>municipioPerfilPrestador</x:v>
      </x:c>
      <x:c r="B16" s="25" t="str">
        <x:v>Municipio</x:v>
      </x:c>
      <x:c r="C16" s="25" t="str">
        <x:v>PerfilPrestador</x:v>
      </x:c>
      <x:c r="D16" s="25" t="str">
        <x:v>1 a 0..N</x:v>
      </x:c>
      <x:c r="E16" s="25" t="str">
        <x:v>PerfilPrestador.idMunicipioPrincipal</x:v>
      </x:c>
      <x:c r="F16" s="25" t="str">
        <x:v>RESTRICT</x:v>
      </x:c>
      <x:c r="G16" s="23" t="str">
        <x:v>Cada perfil selecciona un municipio principal.</x:v>
      </x:c>
    </x:row>
    <x:row r="17" ht="42" customHeight="1">
      <x:c r="A17" s="22" t="str">
        <x:v>municipioSolicitudServicio</x:v>
      </x:c>
      <x:c r="B17" s="26" t="str">
        <x:v>Municipio</x:v>
      </x:c>
      <x:c r="C17" s="26" t="str">
        <x:v>SolicitudServicio</x:v>
      </x:c>
      <x:c r="D17" s="26" t="str">
        <x:v>1 a 0..N</x:v>
      </x:c>
      <x:c r="E17" s="26" t="str">
        <x:v>SolicitudServicio.idMunicipio</x:v>
      </x:c>
      <x:c r="F17" s="26" t="str">
        <x:v>RESTRICT</x:v>
      </x:c>
      <x:c r="G17" s="22" t="str">
        <x:v>Cada solicitud indica el municipio donde se necesita el servicio.</x:v>
      </x:c>
    </x:row>
    <x:row r="19" ht="24" customHeight="1">
      <x:c r="A19" s="59" t="str">
        <x:v>Restricciones implementadas en la base de datos</x:v>
      </x:c>
      <x:c r="B19" s="59"/>
      <x:c r="C19" s="59"/>
      <x:c r="D19" s="59"/>
      <x:c r="E19" s="59"/>
      <x:c r="F19" s="59"/>
      <x:c r="G19" s="59"/>
      <x:c r="H19" s="59"/>
      <x:c r="I19" s="59"/>
      <x:c r="J19" s="59"/>
    </x:row>
    <x:row r="20" ht="30" customHeight="1">
      <x:c r="A20" s="57" t="str">
        <x:v>Tipo</x:v>
      </x:c>
      <x:c r="B20" s="57" t="str">
        <x:v>Nombre</x:v>
      </x:c>
      <x:c r="C20" s="57" t="str">
        <x:v>Columnas</x:v>
      </x:c>
      <x:c r="D20" s="57" t="str">
        <x:v>Regla</x:v>
      </x:c>
      <x:c r="E20" s="57" t="str">
        <x:v>Capa</x:v>
      </x:c>
    </x:row>
    <x:row r="21" ht="38" customHeight="1">
      <x:c r="A21" s="24" t="str">
        <x:v>PK</x:v>
      </x:c>
      <x:c r="B21" s="24" t="str">
        <x:v>pkMunicipio</x:v>
      </x:c>
      <x:c r="C21" s="24" t="str">
        <x:v>idMunicipio</x:v>
      </x:c>
      <x:c r="D21" s="21" t="str">
        <x:v>Identificador único de Municipio.</x:v>
      </x:c>
      <x:c r="E21" s="24" t="str">
        <x:v>Base de datos</x:v>
      </x:c>
    </x:row>
    <x:row r="22" ht="38" customHeight="1">
      <x:c r="A22" s="25" t="str">
        <x:v>UQ</x:v>
      </x:c>
      <x:c r="B22" s="25" t="str">
        <x:v>uqMunicipioDepartamentoNombre</x:v>
      </x:c>
      <x:c r="C22" s="25" t="str">
        <x:v>idDepartamento, nombre</x:v>
      </x:c>
      <x:c r="D22" s="23" t="str">
        <x:v>No repite un municipio dentro del mismo departamento.</x:v>
      </x:c>
      <x:c r="E22" s="25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3:J13"/>
    <x:mergeCell ref="A19:J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PerfilPrestador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Información pública y operativa que permite a un Usuario ofrecer servicios en Moica.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65" t="str">
        <x:v>Bloque</x:v>
      </x:c>
      <x:c r="B4" s="35" t="str">
        <x:v>Prestadores</x:v>
      </x:c>
      <x:c r="C4" s="36"/>
      <x:c r="D4" s="65" t="str">
        <x:v>Naturaleza</x:v>
      </x:c>
      <x:c r="E4" s="35" t="str">
        <x:v>Especialización 0..1</x:v>
      </x:c>
      <x:c r="F4" s="36"/>
      <x:c r="G4" s="65" t="str">
        <x:v>Clave primaria</x:v>
      </x:c>
      <x:c r="H4" s="40" t="str">
        <x:v>idPrestador</x:v>
      </x:c>
      <x:c r="I4" s="65" t="str">
        <x:v>Atributos</x:v>
      </x:c>
      <x:c r="J4" s="40" t="n">
        <x:f>COUNTA(A9:A18)</x:f>
        <x:v>10</x:v>
      </x:c>
    </x:row>
    <x:row r="5" ht="30" customHeight="1">
      <x:c r="A5" s="65" t="str">
        <x:v>Relaciones</x:v>
      </x:c>
      <x:c r="B5" s="40" t="n">
        <x:f>COUNTA(A22:A26)</x:f>
        <x:v>5</x:v>
      </x:c>
      <x:c r="D5" s="65" t="str">
        <x:v>Restricciones BD</x:v>
      </x:c>
      <x:c r="E5" s="40" t="n">
        <x:f>COUNTA(B30:B30)</x:f>
        <x:v>1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67" t="str">
        <x:v>Atributos</x:v>
      </x:c>
      <x:c r="B7" s="67"/>
      <x:c r="C7" s="67"/>
      <x:c r="D7" s="67"/>
      <x:c r="E7" s="67"/>
      <x:c r="F7" s="67"/>
      <x:c r="G7" s="67"/>
      <x:c r="H7" s="67"/>
      <x:c r="I7" s="67"/>
      <x:c r="J7" s="67"/>
    </x:row>
    <x:row r="8" ht="30" customHeight="1">
      <x:c r="A8" s="65" t="str">
        <x:v>Atributo</x:v>
      </x:c>
      <x:c r="B8" s="65" t="str">
        <x:v>Descripción</x:v>
      </x:c>
      <x:c r="C8" s="65" t="str">
        <x:v>Tipo PostgreSQL</x:v>
      </x:c>
      <x:c r="D8" s="65" t="str">
        <x:v>Clave</x:v>
      </x:c>
      <x:c r="E8" s="65" t="str">
        <x:v>Nulo</x:v>
      </x:c>
      <x:c r="F8" s="65" t="str">
        <x:v>Predeterminado</x:v>
      </x:c>
      <x:c r="G8" s="65" t="str">
        <x:v>Dominio o referencia</x:v>
      </x:c>
      <x:c r="H8" s="65" t="str">
        <x:v>Regla o validación</x:v>
      </x:c>
      <x:c r="I8" s="65" t="str">
        <x:v>Responsable</x:v>
      </x:c>
      <x:c r="J8" s="65" t="str">
        <x:v>Naturaleza</x:v>
      </x:c>
    </x:row>
    <x:row r="9" ht="46" customHeight="1">
      <x:c r="A9" s="21" t="str">
        <x:v>idPrestador</x:v>
      </x:c>
      <x:c r="B9" s="21" t="str">
        <x:v>Identificador del usuario que posee el perfil de prestador.</x:v>
      </x:c>
      <x:c r="C9" s="24" t="str">
        <x:v>bigint</x:v>
      </x:c>
      <x:c r="D9" s="24" t="str">
        <x:v>PK/FK</x:v>
      </x:c>
      <x:c r="E9" s="24" t="str">
        <x:v>NO</x:v>
      </x:c>
      <x:c r="F9" s="24" t="str">
        <x:v>—</x:v>
      </x:c>
      <x:c r="G9" s="24" t="str">
        <x:v>Usuario.idUsuario</x:v>
      </x:c>
      <x:c r="H9" s="21" t="str">
        <x:v>Un usuario solo puede tener un perfil de prestador.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nombrePublico</x:v>
      </x:c>
      <x:c r="B10" s="23" t="str">
        <x:v>Nombre personal, profesional o comercial mostrado en el perfil.</x:v>
      </x:c>
      <x:c r="C10" s="25" t="str">
        <x:v>varchar(120)</x:v>
      </x:c>
      <x:c r="D10" s="25" t="str">
        <x:v>—</x:v>
      </x:c>
      <x:c r="E10" s="25" t="str">
        <x:v>NO</x:v>
      </x:c>
      <x:c r="F10" s="25" t="str">
        <x:v>—</x:v>
      </x:c>
      <x:c r="G10" s="25" t="str">
        <x:v>—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urlImagenPerfil</x:v>
      </x:c>
      <x:c r="B11" s="22" t="str">
        <x:v>Dirección del recurso que contiene la imagen pública del perfil.</x:v>
      </x:c>
      <x:c r="C11" s="26" t="str">
        <x:v>varchar(500)</x:v>
      </x:c>
      <x:c r="D11" s="26" t="str">
        <x:v>—</x:v>
      </x:c>
      <x:c r="E11" s="26" t="str">
        <x:v>SÍ</x:v>
      </x:c>
      <x:c r="F11" s="26" t="str">
        <x:v>—</x:v>
      </x:c>
      <x:c r="G11" s="26" t="str">
        <x:v>—</x:v>
      </x:c>
      <x:c r="H11" s="22" t="str">
        <x:v>—</x:v>
      </x:c>
      <x:c r="I11" s="26" t="str">
        <x:v>—</x:v>
      </x:c>
      <x:c r="J11" s="26" t="str">
        <x:v>Negocio</x:v>
      </x:c>
    </x:row>
    <x:row r="12" ht="46" customHeight="1">
      <x:c r="A12" s="23" t="str">
        <x:v>descripcion</x:v>
      </x:c>
      <x:c r="B12" s="23" t="str">
        <x:v>Presentación del prestador, su experiencia y propuesta de valor.</x:v>
      </x:c>
      <x:c r="C12" s="25" t="str">
        <x:v>text</x:v>
      </x:c>
      <x:c r="D12" s="25" t="str">
        <x:v>—</x:v>
      </x:c>
      <x:c r="E12" s="25" t="str">
        <x:v>NO</x:v>
      </x:c>
      <x:c r="F12" s="25" t="str">
        <x:v>—</x:v>
      </x:c>
      <x:c r="G12" s="25" t="str">
        <x:v>—</x:v>
      </x:c>
      <x:c r="H12" s="23" t="str">
        <x:v>—</x:v>
      </x:c>
      <x:c r="I12" s="25" t="str">
        <x:v>Base de datos</x:v>
      </x:c>
      <x:c r="J12" s="25" t="str">
        <x:v>Negocio</x:v>
      </x:c>
    </x:row>
    <x:row r="13" ht="46" customHeight="1">
      <x:c r="A13" s="22" t="str">
        <x:v>tipoPrestador</x:v>
      </x:c>
      <x:c r="B13" s="22" t="str">
        <x:v>Tipo de organización o modalidad bajo la que trabaja el prestador.</x:v>
      </x:c>
      <x:c r="C13" s="26" t="str">
        <x:v>TipoPrestador</x:v>
      </x:c>
      <x:c r="D13" s="26" t="str">
        <x:v>—</x:v>
      </x:c>
      <x:c r="E13" s="26" t="str">
        <x:v>NO</x:v>
      </x:c>
      <x:c r="F13" s="26" t="str">
        <x:v>—</x:v>
      </x:c>
      <x:c r="G13" s="26" t="str">
        <x:v>Dominio TipoPrestador</x:v>
      </x:c>
      <x:c r="H13" s="22" t="str">
        <x:v>Debe pertenecer al dominio definido.</x:v>
      </x:c>
      <x:c r="I13" s="26" t="str">
        <x:v>Base de datos</x:v>
      </x:c>
      <x:c r="J13" s="26" t="str">
        <x:v>Negocio</x:v>
      </x:c>
    </x:row>
    <x:row r="14" ht="46" customHeight="1">
      <x:c r="A14" s="23" t="str">
        <x:v>idMunicipioPrincipal</x:v>
      </x:c>
      <x:c r="B14" s="23" t="str">
        <x:v>Municipio de referencia principal del prestador.</x:v>
      </x:c>
      <x:c r="C14" s="25" t="str">
        <x:v>integer</x:v>
      </x:c>
      <x:c r="D14" s="25" t="str">
        <x:v>FK</x:v>
      </x:c>
      <x:c r="E14" s="25" t="str">
        <x:v>NO</x:v>
      </x:c>
      <x:c r="F14" s="25" t="str">
        <x:v>—</x:v>
      </x:c>
      <x:c r="G14" s="25" t="str">
        <x:v>Municipio.idMunicipio</x:v>
      </x:c>
      <x:c r="H14" s="23" t="str">
        <x:v>—</x:v>
      </x:c>
      <x:c r="I14" s="25" t="str">
        <x:v>Base de datos</x:v>
      </x:c>
      <x:c r="J14" s="25" t="str">
        <x:v>Negocio</x:v>
      </x:c>
    </x:row>
    <x:row r="15" ht="46" customHeight="1">
      <x:c r="A15" s="22" t="str">
        <x:v>descripcionCobertura</x:v>
      </x:c>
      <x:c r="B15" s="22" t="str">
        <x:v>Texto libre que explica las zonas o sectores donde atiende.</x:v>
      </x:c>
      <x:c r="C15" s="26" t="str">
        <x:v>text</x:v>
      </x:c>
      <x:c r="D15" s="26" t="str">
        <x:v>—</x:v>
      </x:c>
      <x:c r="E15" s="26" t="str">
        <x:v>NO</x:v>
      </x:c>
      <x:c r="F15" s="26" t="str">
        <x:v>—</x:v>
      </x:c>
      <x:c r="G15" s="26" t="str">
        <x:v>—</x:v>
      </x:c>
      <x:c r="H15" s="22" t="str">
        <x:v>—</x:v>
      </x:c>
      <x:c r="I15" s="26" t="str">
        <x:v>Base de datos</x:v>
      </x:c>
      <x:c r="J15" s="26" t="str">
        <x:v>Negocio</x:v>
      </x:c>
    </x:row>
    <x:row r="16" ht="46" customHeight="1">
      <x:c r="A16" s="23" t="str">
        <x:v>disponibilidad</x:v>
      </x:c>
      <x:c r="B16" s="23" t="str">
        <x:v>Indica si el prestador acepta nuevas solicitudes.</x:v>
      </x:c>
      <x:c r="C16" s="25" t="str">
        <x:v>EstadoDisponibilidad</x:v>
      </x:c>
      <x:c r="D16" s="25" t="str">
        <x:v>—</x:v>
      </x:c>
      <x:c r="E16" s="25" t="str">
        <x:v>NO</x:v>
      </x:c>
      <x:c r="F16" s="25" t="str">
        <x:v>DISPONIBLE</x:v>
      </x:c>
      <x:c r="G16" s="25" t="str">
        <x:v>Dominio EstadoDisponibilidad</x:v>
      </x:c>
      <x:c r="H16" s="23" t="str">
        <x:v>Debe pertenecer al dominio definido.</x:v>
      </x:c>
      <x:c r="I16" s="25" t="str">
        <x:v>Base de datos</x:v>
      </x:c>
      <x:c r="J16" s="25" t="str">
        <x:v>Negocio</x:v>
      </x:c>
    </x:row>
    <x:row r="17" ht="46" customHeight="1">
      <x:c r="A17" s="22" t="str">
        <x:v>fechaCreacion</x:v>
      </x:c>
      <x:c r="B17" s="22" t="str">
        <x:v>Instante en que se creó el perfil de prestador.</x:v>
      </x:c>
      <x:c r="C17" s="26" t="str">
        <x:v>timestamptz</x:v>
      </x:c>
      <x:c r="D17" s="26" t="str">
        <x:v>—</x:v>
      </x:c>
      <x:c r="E17" s="26" t="str">
        <x:v>NO</x:v>
      </x:c>
      <x:c r="F17" s="26" t="str">
        <x:v>CURRENT_TIMESTAMP</x:v>
      </x:c>
      <x:c r="G17" s="26" t="str">
        <x:v>—</x:v>
      </x:c>
      <x:c r="H17" s="22" t="str">
        <x:v>—</x:v>
      </x:c>
      <x:c r="I17" s="26" t="str">
        <x:v>Base de datos</x:v>
      </x:c>
      <x:c r="J17" s="26" t="str">
        <x:v>Auditoría</x:v>
      </x:c>
    </x:row>
    <x:row r="18" ht="46" customHeight="1">
      <x:c r="A18" s="23" t="str">
        <x:v>fechaActualizacion</x:v>
      </x:c>
      <x:c r="B18" s="23" t="str">
        <x:v>Instante de la última modificación del perfil.</x:v>
      </x:c>
      <x:c r="C18" s="25" t="str">
        <x:v>timestamptz</x:v>
      </x:c>
      <x:c r="D18" s="25" t="str">
        <x:v>—</x:v>
      </x:c>
      <x:c r="E18" s="25" t="str">
        <x:v>NO</x:v>
      </x:c>
      <x:c r="F18" s="25" t="str">
        <x:v>CURRENT_TIMESTAMP</x:v>
      </x:c>
      <x:c r="G18" s="25" t="str">
        <x:v>—</x:v>
      </x:c>
      <x:c r="H18" s="23" t="str">
        <x:v>La aplicación actualiza este valor cada vez que modifica el registro.</x:v>
      </x:c>
      <x:c r="I18" s="25" t="str">
        <x:v>Aplicación</x:v>
      </x:c>
      <x:c r="J18" s="25" t="str">
        <x:v>Auditoría</x:v>
      </x:c>
    </x:row>
    <x:row r="20" ht="24" customHeight="1">
      <x:c r="A20" s="67" t="str">
        <x:v>Relaciones directas</x:v>
      </x:c>
      <x:c r="B20" s="67"/>
      <x:c r="C20" s="67"/>
      <x:c r="D20" s="67"/>
      <x:c r="E20" s="67"/>
      <x:c r="F20" s="67"/>
      <x:c r="G20" s="67"/>
      <x:c r="H20" s="67"/>
      <x:c r="I20" s="67"/>
      <x:c r="J20" s="67"/>
    </x:row>
    <x:row r="21" ht="30" customHeight="1">
      <x:c r="A21" s="65" t="str">
        <x:v>Relación</x:v>
      </x:c>
      <x:c r="B21" s="65" t="str">
        <x:v>Origen</x:v>
      </x:c>
      <x:c r="C21" s="65" t="str">
        <x:v>Destino</x:v>
      </x:c>
      <x:c r="D21" s="65" t="str">
        <x:v>Cardinalidad</x:v>
      </x:c>
      <x:c r="E21" s="65" t="str">
        <x:v>FK en destino</x:v>
      </x:c>
      <x:c r="F21" s="65" t="str">
        <x:v>ON DELETE</x:v>
      </x:c>
      <x:c r="G21" s="65" t="str">
        <x:v>Significado</x:v>
      </x:c>
    </x:row>
    <x:row r="22" ht="42" customHeight="1">
      <x:c r="A22" s="21" t="str">
        <x:v>usuarioPerfilPrestador</x:v>
      </x:c>
      <x:c r="B22" s="24" t="str">
        <x:v>Usuario</x:v>
      </x:c>
      <x:c r="C22" s="24" t="str">
        <x:v>PerfilPrestador</x:v>
      </x:c>
      <x:c r="D22" s="24" t="str">
        <x:v>1 a 0..1</x:v>
      </x:c>
      <x:c r="E22" s="24" t="str">
        <x:v>PerfilPrestador.idPrestador</x:v>
      </x:c>
      <x:c r="F22" s="24" t="str">
        <x:v>CASCADE</x:v>
      </x:c>
      <x:c r="G22" s="21" t="str">
        <x:v>Un usuario puede crear como máximo un perfil de prestador.</x:v>
      </x:c>
    </x:row>
    <x:row r="23" ht="42" customHeight="1">
      <x:c r="A23" s="23" t="str">
        <x:v>municipioPerfilPrestador</x:v>
      </x:c>
      <x:c r="B23" s="25" t="str">
        <x:v>Municipio</x:v>
      </x:c>
      <x:c r="C23" s="25" t="str">
        <x:v>PerfilPrestador</x:v>
      </x:c>
      <x:c r="D23" s="25" t="str">
        <x:v>1 a 0..N</x:v>
      </x:c>
      <x:c r="E23" s="25" t="str">
        <x:v>PerfilPrestador.idMunicipioPrincipal</x:v>
      </x:c>
      <x:c r="F23" s="25" t="str">
        <x:v>RESTRICT</x:v>
      </x:c>
      <x:c r="G23" s="23" t="str">
        <x:v>Cada perfil selecciona un municipio principal.</x:v>
      </x:c>
    </x:row>
    <x:row r="24" ht="42" customHeight="1">
      <x:c r="A24" s="22" t="str">
        <x:v>perfilPrestadorMedioContacto</x:v>
      </x:c>
      <x:c r="B24" s="26" t="str">
        <x:v>PerfilPrestador</x:v>
      </x:c>
      <x:c r="C24" s="26" t="str">
        <x:v>MedioContactoPrestador</x:v>
      </x:c>
      <x:c r="D24" s="26" t="str">
        <x:v>1 a 0..N</x:v>
      </x:c>
      <x:c r="E24" s="26" t="str">
        <x:v>MedioContactoPrestador.idPrestador</x:v>
      </x:c>
      <x:c r="F24" s="26" t="str">
        <x:v>CASCADE</x:v>
      </x:c>
      <x:c r="G24" s="22" t="str">
        <x:v>Un prestador puede publicar varios medios de contacto.</x:v>
      </x:c>
    </x:row>
    <x:row r="25" ht="42" customHeight="1">
      <x:c r="A25" s="23" t="str">
        <x:v>perfilPrestadorTrabajoPortafolio</x:v>
      </x:c>
      <x:c r="B25" s="25" t="str">
        <x:v>PerfilPrestador</x:v>
      </x:c>
      <x:c r="C25" s="25" t="str">
        <x:v>TrabajoPortafolio</x:v>
      </x:c>
      <x:c r="D25" s="25" t="str">
        <x:v>1 a 0..N</x:v>
      </x:c>
      <x:c r="E25" s="25" t="str">
        <x:v>TrabajoPortafolio.idPrestador</x:v>
      </x:c>
      <x:c r="F25" s="25" t="str">
        <x:v>CASCADE</x:v>
      </x:c>
      <x:c r="G25" s="23" t="str">
        <x:v>Un prestador puede mostrar varios trabajos.</x:v>
      </x:c>
    </x:row>
    <x:row r="26" ht="42" customHeight="1">
      <x:c r="A26" s="22" t="str">
        <x:v>perfilPrestadorServicioPublicado</x:v>
      </x:c>
      <x:c r="B26" s="26" t="str">
        <x:v>PerfilPrestador</x:v>
      </x:c>
      <x:c r="C26" s="26" t="str">
        <x:v>ServicioPublicado</x:v>
      </x:c>
      <x:c r="D26" s="26" t="str">
        <x:v>1 a 0..N</x:v>
      </x:c>
      <x:c r="E26" s="26" t="str">
        <x:v>ServicioPublicado.idPrestador</x:v>
      </x:c>
      <x:c r="F26" s="26" t="str">
        <x:v>RESTRICT</x:v>
      </x:c>
      <x:c r="G26" s="22" t="str">
        <x:v>Un prestador puede publicar varios servicios.</x:v>
      </x:c>
    </x:row>
    <x:row r="28" ht="24" customHeight="1">
      <x:c r="A28" s="67" t="str">
        <x:v>Restricciones implementadas en la base de datos</x:v>
      </x:c>
      <x:c r="B28" s="67"/>
      <x:c r="C28" s="67"/>
      <x:c r="D28" s="67"/>
      <x:c r="E28" s="67"/>
      <x:c r="F28" s="67"/>
      <x:c r="G28" s="67"/>
      <x:c r="H28" s="67"/>
      <x:c r="I28" s="67"/>
      <x:c r="J28" s="67"/>
    </x:row>
    <x:row r="29" ht="30" customHeight="1">
      <x:c r="A29" s="65" t="str">
        <x:v>Tipo</x:v>
      </x:c>
      <x:c r="B29" s="65" t="str">
        <x:v>Nombre</x:v>
      </x:c>
      <x:c r="C29" s="65" t="str">
        <x:v>Columnas</x:v>
      </x:c>
      <x:c r="D29" s="65" t="str">
        <x:v>Regla</x:v>
      </x:c>
      <x:c r="E29" s="65" t="str">
        <x:v>Capa</x:v>
      </x:c>
    </x:row>
    <x:row r="30" ht="38" customHeight="1">
      <x:c r="A30" s="24" t="str">
        <x:v>PK</x:v>
      </x:c>
      <x:c r="B30" s="24" t="str">
        <x:v>pkPerfilPrestador</x:v>
      </x:c>
      <x:c r="C30" s="24" t="str">
        <x:v>idPrestador</x:v>
      </x:c>
      <x:c r="D30" s="21" t="str">
        <x:v>Identificador único y compartido con Usuario.</x:v>
      </x:c>
      <x:c r="E30" s="24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20:J20"/>
    <x:mergeCell ref="A28:J2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MedioContactoPrestador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Dato de contacto externo publicado por el prestador, como WhatsApp, Facebook, Instagram, correo u otro medio.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65" t="str">
        <x:v>Bloque</x:v>
      </x:c>
      <x:c r="B4" s="35" t="str">
        <x:v>Prestadores</x:v>
      </x:c>
      <x:c r="C4" s="36"/>
      <x:c r="D4" s="65" t="str">
        <x:v>Naturaleza</x:v>
      </x:c>
      <x:c r="E4" s="35" t="str">
        <x:v>Entidad dependiente</x:v>
      </x:c>
      <x:c r="F4" s="36"/>
      <x:c r="G4" s="65" t="str">
        <x:v>Clave primaria</x:v>
      </x:c>
      <x:c r="H4" s="40" t="str">
        <x:v>idMedioContactoPrestador</x:v>
      </x:c>
      <x:c r="I4" s="65" t="str">
        <x:v>Atributos</x:v>
      </x:c>
      <x:c r="J4" s="40" t="n">
        <x:f>COUNTA(A9:A13)</x:f>
        <x:v>5</x:v>
      </x:c>
    </x:row>
    <x:row r="5" ht="30" customHeight="1">
      <x:c r="A5" s="65" t="str">
        <x:v>Relaciones</x:v>
      </x:c>
      <x:c r="B5" s="40" t="n">
        <x:f>COUNTA(A17:A17)</x:f>
        <x:v>1</x:v>
      </x:c>
      <x:c r="D5" s="65" t="str">
        <x:v>Restricciones BD</x:v>
      </x:c>
      <x:c r="E5" s="40" t="n">
        <x:f>COUNTA(B21:B21)</x:f>
        <x:v>1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67" t="str">
        <x:v>Atributos</x:v>
      </x:c>
      <x:c r="B7" s="67"/>
      <x:c r="C7" s="67"/>
      <x:c r="D7" s="67"/>
      <x:c r="E7" s="67"/>
      <x:c r="F7" s="67"/>
      <x:c r="G7" s="67"/>
      <x:c r="H7" s="67"/>
      <x:c r="I7" s="67"/>
      <x:c r="J7" s="67"/>
    </x:row>
    <x:row r="8" ht="30" customHeight="1">
      <x:c r="A8" s="65" t="str">
        <x:v>Atributo</x:v>
      </x:c>
      <x:c r="B8" s="65" t="str">
        <x:v>Descripción</x:v>
      </x:c>
      <x:c r="C8" s="65" t="str">
        <x:v>Tipo PostgreSQL</x:v>
      </x:c>
      <x:c r="D8" s="65" t="str">
        <x:v>Clave</x:v>
      </x:c>
      <x:c r="E8" s="65" t="str">
        <x:v>Nulo</x:v>
      </x:c>
      <x:c r="F8" s="65" t="str">
        <x:v>Predeterminado</x:v>
      </x:c>
      <x:c r="G8" s="65" t="str">
        <x:v>Dominio o referencia</x:v>
      </x:c>
      <x:c r="H8" s="65" t="str">
        <x:v>Regla o validación</x:v>
      </x:c>
      <x:c r="I8" s="65" t="str">
        <x:v>Responsable</x:v>
      </x:c>
      <x:c r="J8" s="65" t="str">
        <x:v>Naturaleza</x:v>
      </x:c>
    </x:row>
    <x:row r="9" ht="46" customHeight="1">
      <x:c r="A9" s="21" t="str">
        <x:v>idMedioContactoPrestador</x:v>
      </x:c>
      <x:c r="B9" s="21" t="str">
        <x:v>Identificador técnico del medio de contacto.</x:v>
      </x:c>
      <x:c r="C9" s="24" t="str">
        <x:v>bigint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idPrestador</x:v>
      </x:c>
      <x:c r="B10" s="23" t="str">
        <x:v>Prestador propietario del medio de contacto.</x:v>
      </x:c>
      <x:c r="C10" s="25" t="str">
        <x:v>bigint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PerfilPrestador.idPrestador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contenido</x:v>
      </x:c>
      <x:c r="B11" s="22" t="str">
        <x:v>Número, correo, usuario, enlace o indicación escrita del contacto.</x:v>
      </x:c>
      <x:c r="C11" s="26" t="str">
        <x:v>varchar(500)</x:v>
      </x:c>
      <x:c r="D11" s="26" t="str">
        <x:v>—</x:v>
      </x:c>
      <x:c r="E11" s="26" t="str">
        <x:v>NO</x:v>
      </x:c>
      <x:c r="F11" s="26" t="str">
        <x:v>—</x:v>
      </x:c>
      <x:c r="G11" s="26" t="str">
        <x:v>—</x:v>
      </x:c>
      <x:c r="H11" s="22" t="str">
        <x:v>—</x:v>
      </x:c>
      <x:c r="I11" s="26" t="str">
        <x:v>Base de datos</x:v>
      </x:c>
      <x:c r="J11" s="26" t="str">
        <x:v>Negocio</x:v>
      </x:c>
    </x:row>
    <x:row r="12" ht="46" customHeight="1">
      <x:c r="A12" s="23" t="str">
        <x:v>ordenVisualizacion</x:v>
      </x:c>
      <x:c r="B12" s="23" t="str">
        <x:v>Posición relativa del contacto dentro del perfil.</x:v>
      </x:c>
      <x:c r="C12" s="25" t="str">
        <x:v>smallint</x:v>
      </x:c>
      <x:c r="D12" s="25" t="str">
        <x:v>—</x:v>
      </x:c>
      <x:c r="E12" s="25" t="str">
        <x:v>NO</x:v>
      </x:c>
      <x:c r="F12" s="25" t="str">
        <x:v>0</x:v>
      </x:c>
      <x:c r="G12" s="25" t="str">
        <x:v>—</x:v>
      </x:c>
      <x:c r="H12" s="23" t="str">
        <x:v>Debe ser mayor o igual que cero.</x:v>
      </x:c>
      <x:c r="I12" s="25" t="str">
        <x:v>Aplicación</x:v>
      </x:c>
      <x:c r="J12" s="25" t="str">
        <x:v>Negocio</x:v>
      </x:c>
    </x:row>
    <x:row r="13" ht="46" customHeight="1">
      <x:c r="A13" s="22" t="str">
        <x:v>fechaCreacion</x:v>
      </x:c>
      <x:c r="B13" s="22" t="str">
        <x:v>Instante en que se agregó el medio de contacto.</x:v>
      </x:c>
      <x:c r="C13" s="26" t="str">
        <x:v>timestamptz</x:v>
      </x:c>
      <x:c r="D13" s="26" t="str">
        <x:v>—</x:v>
      </x:c>
      <x:c r="E13" s="26" t="str">
        <x:v>NO</x:v>
      </x:c>
      <x:c r="F13" s="26" t="str">
        <x:v>CURRENT_TIMESTAMP</x:v>
      </x:c>
      <x:c r="G13" s="26" t="str">
        <x:v>—</x:v>
      </x:c>
      <x:c r="H13" s="22" t="str">
        <x:v>—</x:v>
      </x:c>
      <x:c r="I13" s="26" t="str">
        <x:v>Base de datos</x:v>
      </x:c>
      <x:c r="J13" s="26" t="str">
        <x:v>Auditoría</x:v>
      </x:c>
    </x:row>
    <x:row r="15" ht="24" customHeight="1">
      <x:c r="A15" s="67" t="str">
        <x:v>Relaciones directas</x:v>
      </x:c>
      <x:c r="B15" s="67"/>
      <x:c r="C15" s="67"/>
      <x:c r="D15" s="67"/>
      <x:c r="E15" s="67"/>
      <x:c r="F15" s="67"/>
      <x:c r="G15" s="67"/>
      <x:c r="H15" s="67"/>
      <x:c r="I15" s="67"/>
      <x:c r="J15" s="67"/>
    </x:row>
    <x:row r="16" ht="30" customHeight="1">
      <x:c r="A16" s="65" t="str">
        <x:v>Relación</x:v>
      </x:c>
      <x:c r="B16" s="65" t="str">
        <x:v>Origen</x:v>
      </x:c>
      <x:c r="C16" s="65" t="str">
        <x:v>Destino</x:v>
      </x:c>
      <x:c r="D16" s="65" t="str">
        <x:v>Cardinalidad</x:v>
      </x:c>
      <x:c r="E16" s="65" t="str">
        <x:v>FK en destino</x:v>
      </x:c>
      <x:c r="F16" s="65" t="str">
        <x:v>ON DELETE</x:v>
      </x:c>
      <x:c r="G16" s="65" t="str">
        <x:v>Significado</x:v>
      </x:c>
    </x:row>
    <x:row r="17" ht="42" customHeight="1">
      <x:c r="A17" s="21" t="str">
        <x:v>perfilPrestadorMedioContacto</x:v>
      </x:c>
      <x:c r="B17" s="24" t="str">
        <x:v>PerfilPrestador</x:v>
      </x:c>
      <x:c r="C17" s="24" t="str">
        <x:v>MedioContactoPrestador</x:v>
      </x:c>
      <x:c r="D17" s="24" t="str">
        <x:v>1 a 0..N</x:v>
      </x:c>
      <x:c r="E17" s="24" t="str">
        <x:v>MedioContactoPrestador.idPrestador</x:v>
      </x:c>
      <x:c r="F17" s="24" t="str">
        <x:v>CASCADE</x:v>
      </x:c>
      <x:c r="G17" s="21" t="str">
        <x:v>Un prestador puede publicar varios medios de contacto.</x:v>
      </x:c>
    </x:row>
    <x:row r="19" ht="24" customHeight="1">
      <x:c r="A19" s="67" t="str">
        <x:v>Restricciones implementadas en la base de datos</x:v>
      </x:c>
      <x:c r="B19" s="67"/>
      <x:c r="C19" s="67"/>
      <x:c r="D19" s="67"/>
      <x:c r="E19" s="67"/>
      <x:c r="F19" s="67"/>
      <x:c r="G19" s="67"/>
      <x:c r="H19" s="67"/>
      <x:c r="I19" s="67"/>
      <x:c r="J19" s="67"/>
    </x:row>
    <x:row r="20" ht="30" customHeight="1">
      <x:c r="A20" s="65" t="str">
        <x:v>Tipo</x:v>
      </x:c>
      <x:c r="B20" s="65" t="str">
        <x:v>Nombre</x:v>
      </x:c>
      <x:c r="C20" s="65" t="str">
        <x:v>Columnas</x:v>
      </x:c>
      <x:c r="D20" s="65" t="str">
        <x:v>Regla</x:v>
      </x:c>
      <x:c r="E20" s="65" t="str">
        <x:v>Capa</x:v>
      </x:c>
    </x:row>
    <x:row r="21" ht="38" customHeight="1">
      <x:c r="A21" s="24" t="str">
        <x:v>PK</x:v>
      </x:c>
      <x:c r="B21" s="24" t="str">
        <x:v>pkMedioContactoPrestador</x:v>
      </x:c>
      <x:c r="C21" s="24" t="str">
        <x:v>idMedioContactoPrestador</x:v>
      </x:c>
      <x:c r="D21" s="21" t="str">
        <x:v>Identificador único del medio de contacto.</x:v>
      </x:c>
      <x:c r="E21" s="24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5:J15"/>
    <x:mergeCell ref="A19:J19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TrabajoPortafolio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Trabajo anterior que el prestador muestra como parte de su portafolio dentro del perfil.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65" t="str">
        <x:v>Bloque</x:v>
      </x:c>
      <x:c r="B4" s="35" t="str">
        <x:v>Prestadores</x:v>
      </x:c>
      <x:c r="C4" s="36"/>
      <x:c r="D4" s="65" t="str">
        <x:v>Naturaleza</x:v>
      </x:c>
      <x:c r="E4" s="35" t="str">
        <x:v>Entidad dependiente</x:v>
      </x:c>
      <x:c r="F4" s="36"/>
      <x:c r="G4" s="65" t="str">
        <x:v>Clave primaria</x:v>
      </x:c>
      <x:c r="H4" s="40" t="str">
        <x:v>idTrabajo</x:v>
      </x:c>
      <x:c r="I4" s="65" t="str">
        <x:v>Atributos</x:v>
      </x:c>
      <x:c r="J4" s="40" t="n">
        <x:f>COUNTA(A9:A16)</x:f>
        <x:v>8</x:v>
      </x:c>
    </x:row>
    <x:row r="5" ht="30" customHeight="1">
      <x:c r="A5" s="65" t="str">
        <x:v>Relaciones</x:v>
      </x:c>
      <x:c r="B5" s="40" t="n">
        <x:f>COUNTA(A20:A21)</x:f>
        <x:v>2</x:v>
      </x:c>
      <x:c r="D5" s="65" t="str">
        <x:v>Restricciones BD</x:v>
      </x:c>
      <x:c r="E5" s="40" t="n">
        <x:f>COUNTA(B25:B25)</x:f>
        <x:v>1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67" t="str">
        <x:v>Atributos</x:v>
      </x:c>
      <x:c r="B7" s="67"/>
      <x:c r="C7" s="67"/>
      <x:c r="D7" s="67"/>
      <x:c r="E7" s="67"/>
      <x:c r="F7" s="67"/>
      <x:c r="G7" s="67"/>
      <x:c r="H7" s="67"/>
      <x:c r="I7" s="67"/>
      <x:c r="J7" s="67"/>
    </x:row>
    <x:row r="8" ht="30" customHeight="1">
      <x:c r="A8" s="65" t="str">
        <x:v>Atributo</x:v>
      </x:c>
      <x:c r="B8" s="65" t="str">
        <x:v>Descripción</x:v>
      </x:c>
      <x:c r="C8" s="65" t="str">
        <x:v>Tipo PostgreSQL</x:v>
      </x:c>
      <x:c r="D8" s="65" t="str">
        <x:v>Clave</x:v>
      </x:c>
      <x:c r="E8" s="65" t="str">
        <x:v>Nulo</x:v>
      </x:c>
      <x:c r="F8" s="65" t="str">
        <x:v>Predeterminado</x:v>
      </x:c>
      <x:c r="G8" s="65" t="str">
        <x:v>Dominio o referencia</x:v>
      </x:c>
      <x:c r="H8" s="65" t="str">
        <x:v>Regla o validación</x:v>
      </x:c>
      <x:c r="I8" s="65" t="str">
        <x:v>Responsable</x:v>
      </x:c>
      <x:c r="J8" s="65" t="str">
        <x:v>Naturaleza</x:v>
      </x:c>
    </x:row>
    <x:row r="9" ht="46" customHeight="1">
      <x:c r="A9" s="21" t="str">
        <x:v>idTrabajo</x:v>
      </x:c>
      <x:c r="B9" s="21" t="str">
        <x:v>Identificador técnico del trabajo mostrado.</x:v>
      </x:c>
      <x:c r="C9" s="24" t="str">
        <x:v>bigint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idPrestador</x:v>
      </x:c>
      <x:c r="B10" s="23" t="str">
        <x:v>Prestador propietario del trabajo del portafolio.</x:v>
      </x:c>
      <x:c r="C10" s="25" t="str">
        <x:v>bigint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PerfilPrestador.idPrestador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titulo</x:v>
      </x:c>
      <x:c r="B11" s="22" t="str">
        <x:v>Nombre breve del trabajo realizado.</x:v>
      </x:c>
      <x:c r="C11" s="26" t="str">
        <x:v>varchar(150)</x:v>
      </x:c>
      <x:c r="D11" s="26" t="str">
        <x:v>—</x:v>
      </x:c>
      <x:c r="E11" s="26" t="str">
        <x:v>NO</x:v>
      </x:c>
      <x:c r="F11" s="26" t="str">
        <x:v>—</x:v>
      </x:c>
      <x:c r="G11" s="26" t="str">
        <x:v>—</x:v>
      </x:c>
      <x:c r="H11" s="22" t="str">
        <x:v>—</x:v>
      </x:c>
      <x:c r="I11" s="26" t="str">
        <x:v>Base de datos</x:v>
      </x:c>
      <x:c r="J11" s="26" t="str">
        <x:v>Negocio</x:v>
      </x:c>
    </x:row>
    <x:row r="12" ht="46" customHeight="1">
      <x:c r="A12" s="23" t="str">
        <x:v>descripcion</x:v>
      </x:c>
      <x:c r="B12" s="23" t="str">
        <x:v>Explicación del trabajo, alcance o resultado.</x:v>
      </x:c>
      <x:c r="C12" s="25" t="str">
        <x:v>text</x:v>
      </x:c>
      <x:c r="D12" s="25" t="str">
        <x:v>—</x:v>
      </x:c>
      <x:c r="E12" s="25" t="str">
        <x:v>NO</x:v>
      </x:c>
      <x:c r="F12" s="25" t="str">
        <x:v>—</x:v>
      </x:c>
      <x:c r="G12" s="25" t="str">
        <x:v>—</x:v>
      </x:c>
      <x:c r="H12" s="23" t="str">
        <x:v>—</x:v>
      </x:c>
      <x:c r="I12" s="25" t="str">
        <x:v>Base de datos</x:v>
      </x:c>
      <x:c r="J12" s="25" t="str">
        <x:v>Negocio</x:v>
      </x:c>
    </x:row>
    <x:row r="13" ht="46" customHeight="1">
      <x:c r="A13" s="22" t="str">
        <x:v>fechaRealizacion</x:v>
      </x:c>
      <x:c r="B13" s="22" t="str">
        <x:v>Fecha en que se realizó el trabajo, cuando el prestador desea indicarla.</x:v>
      </x:c>
      <x:c r="C13" s="26" t="str">
        <x:v>date</x:v>
      </x:c>
      <x:c r="D13" s="26" t="str">
        <x:v>—</x:v>
      </x:c>
      <x:c r="E13" s="26" t="str">
        <x:v>SÍ</x:v>
      </x:c>
      <x:c r="F13" s="26" t="str">
        <x:v>—</x:v>
      </x:c>
      <x:c r="G13" s="26" t="str">
        <x:v>—</x:v>
      </x:c>
      <x:c r="H13" s="22" t="str">
        <x:v>—</x:v>
      </x:c>
      <x:c r="I13" s="26" t="str">
        <x:v>—</x:v>
      </x:c>
      <x:c r="J13" s="26" t="str">
        <x:v>Negocio</x:v>
      </x:c>
    </x:row>
    <x:row r="14" ht="46" customHeight="1">
      <x:c r="A14" s="23" t="str">
        <x:v>ordenVisualizacion</x:v>
      </x:c>
      <x:c r="B14" s="23" t="str">
        <x:v>Posición relativa del trabajo dentro del portafolio.</x:v>
      </x:c>
      <x:c r="C14" s="25" t="str">
        <x:v>smallint</x:v>
      </x:c>
      <x:c r="D14" s="25" t="str">
        <x:v>—</x:v>
      </x:c>
      <x:c r="E14" s="25" t="str">
        <x:v>NO</x:v>
      </x:c>
      <x:c r="F14" s="25" t="str">
        <x:v>0</x:v>
      </x:c>
      <x:c r="G14" s="25" t="str">
        <x:v>—</x:v>
      </x:c>
      <x:c r="H14" s="23" t="str">
        <x:v>Debe ser mayor o igual que cero.</x:v>
      </x:c>
      <x:c r="I14" s="25" t="str">
        <x:v>Aplicación</x:v>
      </x:c>
      <x:c r="J14" s="25" t="str">
        <x:v>Negocio</x:v>
      </x:c>
    </x:row>
    <x:row r="15" ht="46" customHeight="1">
      <x:c r="A15" s="22" t="str">
        <x:v>fechaCreacion</x:v>
      </x:c>
      <x:c r="B15" s="22" t="str">
        <x:v>Instante en que se agregó el trabajo.</x:v>
      </x:c>
      <x:c r="C15" s="26" t="str">
        <x:v>timestamptz</x:v>
      </x:c>
      <x:c r="D15" s="26" t="str">
        <x:v>—</x:v>
      </x:c>
      <x:c r="E15" s="26" t="str">
        <x:v>NO</x:v>
      </x:c>
      <x:c r="F15" s="26" t="str">
        <x:v>CURRENT_TIMESTAMP</x:v>
      </x:c>
      <x:c r="G15" s="26" t="str">
        <x:v>—</x:v>
      </x:c>
      <x:c r="H15" s="22" t="str">
        <x:v>—</x:v>
      </x:c>
      <x:c r="I15" s="26" t="str">
        <x:v>Base de datos</x:v>
      </x:c>
      <x:c r="J15" s="26" t="str">
        <x:v>Auditoría</x:v>
      </x:c>
    </x:row>
    <x:row r="16" ht="46" customHeight="1">
      <x:c r="A16" s="23" t="str">
        <x:v>fechaActualizacion</x:v>
      </x:c>
      <x:c r="B16" s="23" t="str">
        <x:v>Instante de la última modificación del trabajo.</x:v>
      </x:c>
      <x:c r="C16" s="25" t="str">
        <x:v>timestamptz</x:v>
      </x:c>
      <x:c r="D16" s="25" t="str">
        <x:v>—</x:v>
      </x:c>
      <x:c r="E16" s="25" t="str">
        <x:v>NO</x:v>
      </x:c>
      <x:c r="F16" s="25" t="str">
        <x:v>CURRENT_TIMESTAMP</x:v>
      </x:c>
      <x:c r="G16" s="25" t="str">
        <x:v>—</x:v>
      </x:c>
      <x:c r="H16" s="23" t="str">
        <x:v>La aplicación actualiza este valor cada vez que modifica el registro.</x:v>
      </x:c>
      <x:c r="I16" s="25" t="str">
        <x:v>Aplicación</x:v>
      </x:c>
      <x:c r="J16" s="25" t="str">
        <x:v>Auditoría</x:v>
      </x:c>
    </x:row>
    <x:row r="18" ht="24" customHeight="1">
      <x:c r="A18" s="67" t="str">
        <x:v>Relaciones directas</x:v>
      </x:c>
      <x:c r="B18" s="67"/>
      <x:c r="C18" s="67"/>
      <x:c r="D18" s="67"/>
      <x:c r="E18" s="67"/>
      <x:c r="F18" s="67"/>
      <x:c r="G18" s="67"/>
      <x:c r="H18" s="67"/>
      <x:c r="I18" s="67"/>
      <x:c r="J18" s="67"/>
    </x:row>
    <x:row r="19" ht="30" customHeight="1">
      <x:c r="A19" s="65" t="str">
        <x:v>Relación</x:v>
      </x:c>
      <x:c r="B19" s="65" t="str">
        <x:v>Origen</x:v>
      </x:c>
      <x:c r="C19" s="65" t="str">
        <x:v>Destino</x:v>
      </x:c>
      <x:c r="D19" s="65" t="str">
        <x:v>Cardinalidad</x:v>
      </x:c>
      <x:c r="E19" s="65" t="str">
        <x:v>FK en destino</x:v>
      </x:c>
      <x:c r="F19" s="65" t="str">
        <x:v>ON DELETE</x:v>
      </x:c>
      <x:c r="G19" s="65" t="str">
        <x:v>Significado</x:v>
      </x:c>
    </x:row>
    <x:row r="20" ht="42" customHeight="1">
      <x:c r="A20" s="21" t="str">
        <x:v>perfilPrestadorTrabajoPortafolio</x:v>
      </x:c>
      <x:c r="B20" s="24" t="str">
        <x:v>PerfilPrestador</x:v>
      </x:c>
      <x:c r="C20" s="24" t="str">
        <x:v>TrabajoPortafolio</x:v>
      </x:c>
      <x:c r="D20" s="24" t="str">
        <x:v>1 a 0..N</x:v>
      </x:c>
      <x:c r="E20" s="24" t="str">
        <x:v>TrabajoPortafolio.idPrestador</x:v>
      </x:c>
      <x:c r="F20" s="24" t="str">
        <x:v>CASCADE</x:v>
      </x:c>
      <x:c r="G20" s="21" t="str">
        <x:v>Un prestador puede mostrar varios trabajos.</x:v>
      </x:c>
    </x:row>
    <x:row r="21" ht="42" customHeight="1">
      <x:c r="A21" s="23" t="str">
        <x:v>trabajoPortafolioImagenTrabajo</x:v>
      </x:c>
      <x:c r="B21" s="25" t="str">
        <x:v>TrabajoPortafolio</x:v>
      </x:c>
      <x:c r="C21" s="25" t="str">
        <x:v>ImagenTrabajoPortafolio</x:v>
      </x:c>
      <x:c r="D21" s="25" t="str">
        <x:v>1 a 0..N</x:v>
      </x:c>
      <x:c r="E21" s="25" t="str">
        <x:v>ImagenTrabajoPortafolio.idTrabajo</x:v>
      </x:c>
      <x:c r="F21" s="25" t="str">
        <x:v>CASCADE</x:v>
      </x:c>
      <x:c r="G21" s="23" t="str">
        <x:v>Un trabajo puede incluir varias imágenes.</x:v>
      </x:c>
    </x:row>
    <x:row r="23" ht="24" customHeight="1">
      <x:c r="A23" s="67" t="str">
        <x:v>Restricciones implementadas en la base de datos</x:v>
      </x:c>
      <x:c r="B23" s="67"/>
      <x:c r="C23" s="67"/>
      <x:c r="D23" s="67"/>
      <x:c r="E23" s="67"/>
      <x:c r="F23" s="67"/>
      <x:c r="G23" s="67"/>
      <x:c r="H23" s="67"/>
      <x:c r="I23" s="67"/>
      <x:c r="J23" s="67"/>
    </x:row>
    <x:row r="24" ht="30" customHeight="1">
      <x:c r="A24" s="65" t="str">
        <x:v>Tipo</x:v>
      </x:c>
      <x:c r="B24" s="65" t="str">
        <x:v>Nombre</x:v>
      </x:c>
      <x:c r="C24" s="65" t="str">
        <x:v>Columnas</x:v>
      </x:c>
      <x:c r="D24" s="65" t="str">
        <x:v>Regla</x:v>
      </x:c>
      <x:c r="E24" s="65" t="str">
        <x:v>Capa</x:v>
      </x:c>
    </x:row>
    <x:row r="25" ht="38" customHeight="1">
      <x:c r="A25" s="24" t="str">
        <x:v>PK</x:v>
      </x:c>
      <x:c r="B25" s="24" t="str">
        <x:v>pkTrabajoPortafolio</x:v>
      </x:c>
      <x:c r="C25" s="24" t="str">
        <x:v>idTrabajo</x:v>
      </x:c>
      <x:c r="D25" s="21" t="str">
        <x:v>Identificador único del trabajo.</x:v>
      </x:c>
      <x:c r="E25" s="24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8:J18"/>
    <x:mergeCell ref="A23:J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ImagenTrabajoPortafolio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Imagen asociada con un trabajo del portafolio.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65" t="str">
        <x:v>Bloque</x:v>
      </x:c>
      <x:c r="B4" s="35" t="str">
        <x:v>Prestadores</x:v>
      </x:c>
      <x:c r="C4" s="36"/>
      <x:c r="D4" s="65" t="str">
        <x:v>Naturaleza</x:v>
      </x:c>
      <x:c r="E4" s="35" t="str">
        <x:v>Entidad dependiente</x:v>
      </x:c>
      <x:c r="F4" s="36"/>
      <x:c r="G4" s="65" t="str">
        <x:v>Clave primaria</x:v>
      </x:c>
      <x:c r="H4" s="40" t="str">
        <x:v>idImagenTrabajoPortafolio</x:v>
      </x:c>
      <x:c r="I4" s="65" t="str">
        <x:v>Atributos</x:v>
      </x:c>
      <x:c r="J4" s="40" t="n">
        <x:f>COUNTA(A9:A14)</x:f>
        <x:v>6</x:v>
      </x:c>
    </x:row>
    <x:row r="5" ht="30" customHeight="1">
      <x:c r="A5" s="65" t="str">
        <x:v>Relaciones</x:v>
      </x:c>
      <x:c r="B5" s="40" t="n">
        <x:f>COUNTA(A18:A18)</x:f>
        <x:v>1</x:v>
      </x:c>
      <x:c r="D5" s="65" t="str">
        <x:v>Restricciones BD</x:v>
      </x:c>
      <x:c r="E5" s="40" t="n">
        <x:f>COUNTA(B22:B22)</x:f>
        <x:v>1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67" t="str">
        <x:v>Atributos</x:v>
      </x:c>
      <x:c r="B7" s="67"/>
      <x:c r="C7" s="67"/>
      <x:c r="D7" s="67"/>
      <x:c r="E7" s="67"/>
      <x:c r="F7" s="67"/>
      <x:c r="G7" s="67"/>
      <x:c r="H7" s="67"/>
      <x:c r="I7" s="67"/>
      <x:c r="J7" s="67"/>
    </x:row>
    <x:row r="8" ht="30" customHeight="1">
      <x:c r="A8" s="65" t="str">
        <x:v>Atributo</x:v>
      </x:c>
      <x:c r="B8" s="65" t="str">
        <x:v>Descripción</x:v>
      </x:c>
      <x:c r="C8" s="65" t="str">
        <x:v>Tipo PostgreSQL</x:v>
      </x:c>
      <x:c r="D8" s="65" t="str">
        <x:v>Clave</x:v>
      </x:c>
      <x:c r="E8" s="65" t="str">
        <x:v>Nulo</x:v>
      </x:c>
      <x:c r="F8" s="65" t="str">
        <x:v>Predeterminado</x:v>
      </x:c>
      <x:c r="G8" s="65" t="str">
        <x:v>Dominio o referencia</x:v>
      </x:c>
      <x:c r="H8" s="65" t="str">
        <x:v>Regla o validación</x:v>
      </x:c>
      <x:c r="I8" s="65" t="str">
        <x:v>Responsable</x:v>
      </x:c>
      <x:c r="J8" s="65" t="str">
        <x:v>Naturaleza</x:v>
      </x:c>
    </x:row>
    <x:row r="9" ht="46" customHeight="1">
      <x:c r="A9" s="21" t="str">
        <x:v>idImagenTrabajoPortafolio</x:v>
      </x:c>
      <x:c r="B9" s="21" t="str">
        <x:v>Identificador técnico de la imagen.</x:v>
      </x:c>
      <x:c r="C9" s="24" t="str">
        <x:v>bigint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idTrabajo</x:v>
      </x:c>
      <x:c r="B10" s="23" t="str">
        <x:v>Trabajo del portafolio al que pertenece la imagen.</x:v>
      </x:c>
      <x:c r="C10" s="25" t="str">
        <x:v>bigint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TrabajoPortafolio.idTrabajo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urlImagen</x:v>
      </x:c>
      <x:c r="B11" s="22" t="str">
        <x:v>Dirección del recurso que contiene la imagen.</x:v>
      </x:c>
      <x:c r="C11" s="26" t="str">
        <x:v>varchar(500)</x:v>
      </x:c>
      <x:c r="D11" s="26" t="str">
        <x:v>—</x:v>
      </x:c>
      <x:c r="E11" s="26" t="str">
        <x:v>NO</x:v>
      </x:c>
      <x:c r="F11" s="26" t="str">
        <x:v>—</x:v>
      </x:c>
      <x:c r="G11" s="26" t="str">
        <x:v>—</x:v>
      </x:c>
      <x:c r="H11" s="22" t="str">
        <x:v>—</x:v>
      </x:c>
      <x:c r="I11" s="26" t="str">
        <x:v>Base de datos</x:v>
      </x:c>
      <x:c r="J11" s="26" t="str">
        <x:v>Negocio</x:v>
      </x:c>
    </x:row>
    <x:row r="12" ht="46" customHeight="1">
      <x:c r="A12" s="23" t="str">
        <x:v>textoAlternativo</x:v>
      </x:c>
      <x:c r="B12" s="23" t="str">
        <x:v>Descripción breve de la imagen para accesibilidad.</x:v>
      </x:c>
      <x:c r="C12" s="25" t="str">
        <x:v>varchar(200)</x:v>
      </x:c>
      <x:c r="D12" s="25" t="str">
        <x:v>—</x:v>
      </x:c>
      <x:c r="E12" s="25" t="str">
        <x:v>SÍ</x:v>
      </x:c>
      <x:c r="F12" s="25" t="str">
        <x:v>—</x:v>
      </x:c>
      <x:c r="G12" s="25" t="str">
        <x:v>—</x:v>
      </x:c>
      <x:c r="H12" s="23" t="str">
        <x:v>—</x:v>
      </x:c>
      <x:c r="I12" s="25" t="str">
        <x:v>—</x:v>
      </x:c>
      <x:c r="J12" s="25" t="str">
        <x:v>Negocio</x:v>
      </x:c>
    </x:row>
    <x:row r="13" ht="46" customHeight="1">
      <x:c r="A13" s="22" t="str">
        <x:v>ordenVisualizacion</x:v>
      </x:c>
      <x:c r="B13" s="22" t="str">
        <x:v>Posición relativa de la imagen dentro del trabajo.</x:v>
      </x:c>
      <x:c r="C13" s="26" t="str">
        <x:v>smallint</x:v>
      </x:c>
      <x:c r="D13" s="26" t="str">
        <x:v>—</x:v>
      </x:c>
      <x:c r="E13" s="26" t="str">
        <x:v>NO</x:v>
      </x:c>
      <x:c r="F13" s="26" t="str">
        <x:v>0</x:v>
      </x:c>
      <x:c r="G13" s="26" t="str">
        <x:v>—</x:v>
      </x:c>
      <x:c r="H13" s="22" t="str">
        <x:v>Debe ser mayor o igual que cero.</x:v>
      </x:c>
      <x:c r="I13" s="26" t="str">
        <x:v>Aplicación</x:v>
      </x:c>
      <x:c r="J13" s="26" t="str">
        <x:v>Negocio</x:v>
      </x:c>
    </x:row>
    <x:row r="14" ht="46" customHeight="1">
      <x:c r="A14" s="23" t="str">
        <x:v>fechaCreacion</x:v>
      </x:c>
      <x:c r="B14" s="23" t="str">
        <x:v>Instante en que se agregó la imagen.</x:v>
      </x:c>
      <x:c r="C14" s="25" t="str">
        <x:v>timestamptz</x:v>
      </x:c>
      <x:c r="D14" s="25" t="str">
        <x:v>—</x:v>
      </x:c>
      <x:c r="E14" s="25" t="str">
        <x:v>NO</x:v>
      </x:c>
      <x:c r="F14" s="25" t="str">
        <x:v>CURRENT_TIMESTAMP</x:v>
      </x:c>
      <x:c r="G14" s="25" t="str">
        <x:v>—</x:v>
      </x:c>
      <x:c r="H14" s="23" t="str">
        <x:v>—</x:v>
      </x:c>
      <x:c r="I14" s="25" t="str">
        <x:v>Base de datos</x:v>
      </x:c>
      <x:c r="J14" s="25" t="str">
        <x:v>Auditoría</x:v>
      </x:c>
    </x:row>
    <x:row r="16" ht="24" customHeight="1">
      <x:c r="A16" s="67" t="str">
        <x:v>Relaciones directas</x:v>
      </x:c>
      <x:c r="B16" s="67"/>
      <x:c r="C16" s="67"/>
      <x:c r="D16" s="67"/>
      <x:c r="E16" s="67"/>
      <x:c r="F16" s="67"/>
      <x:c r="G16" s="67"/>
      <x:c r="H16" s="67"/>
      <x:c r="I16" s="67"/>
      <x:c r="J16" s="67"/>
    </x:row>
    <x:row r="17" ht="30" customHeight="1">
      <x:c r="A17" s="65" t="str">
        <x:v>Relación</x:v>
      </x:c>
      <x:c r="B17" s="65" t="str">
        <x:v>Origen</x:v>
      </x:c>
      <x:c r="C17" s="65" t="str">
        <x:v>Destino</x:v>
      </x:c>
      <x:c r="D17" s="65" t="str">
        <x:v>Cardinalidad</x:v>
      </x:c>
      <x:c r="E17" s="65" t="str">
        <x:v>FK en destino</x:v>
      </x:c>
      <x:c r="F17" s="65" t="str">
        <x:v>ON DELETE</x:v>
      </x:c>
      <x:c r="G17" s="65" t="str">
        <x:v>Significado</x:v>
      </x:c>
    </x:row>
    <x:row r="18" ht="42" customHeight="1">
      <x:c r="A18" s="21" t="str">
        <x:v>trabajoPortafolioImagenTrabajo</x:v>
      </x:c>
      <x:c r="B18" s="24" t="str">
        <x:v>TrabajoPortafolio</x:v>
      </x:c>
      <x:c r="C18" s="24" t="str">
        <x:v>ImagenTrabajoPortafolio</x:v>
      </x:c>
      <x:c r="D18" s="24" t="str">
        <x:v>1 a 0..N</x:v>
      </x:c>
      <x:c r="E18" s="24" t="str">
        <x:v>ImagenTrabajoPortafolio.idTrabajo</x:v>
      </x:c>
      <x:c r="F18" s="24" t="str">
        <x:v>CASCADE</x:v>
      </x:c>
      <x:c r="G18" s="21" t="str">
        <x:v>Un trabajo puede incluir varias imágenes.</x:v>
      </x:c>
    </x:row>
    <x:row r="20" ht="24" customHeight="1">
      <x:c r="A20" s="67" t="str">
        <x:v>Restricciones implementadas en la base de datos</x:v>
      </x:c>
      <x:c r="B20" s="67"/>
      <x:c r="C20" s="67"/>
      <x:c r="D20" s="67"/>
      <x:c r="E20" s="67"/>
      <x:c r="F20" s="67"/>
      <x:c r="G20" s="67"/>
      <x:c r="H20" s="67"/>
      <x:c r="I20" s="67"/>
      <x:c r="J20" s="67"/>
    </x:row>
    <x:row r="21" ht="30" customHeight="1">
      <x:c r="A21" s="65" t="str">
        <x:v>Tipo</x:v>
      </x:c>
      <x:c r="B21" s="65" t="str">
        <x:v>Nombre</x:v>
      </x:c>
      <x:c r="C21" s="65" t="str">
        <x:v>Columnas</x:v>
      </x:c>
      <x:c r="D21" s="65" t="str">
        <x:v>Regla</x:v>
      </x:c>
      <x:c r="E21" s="65" t="str">
        <x:v>Capa</x:v>
      </x:c>
    </x:row>
    <x:row r="22" ht="38" customHeight="1">
      <x:c r="A22" s="24" t="str">
        <x:v>PK</x:v>
      </x:c>
      <x:c r="B22" s="24" t="str">
        <x:v>pkImagenTrabajoPortafolio</x:v>
      </x:c>
      <x:c r="C22" s="24" t="str">
        <x:v>idImagenTrabajoPortafolio</x:v>
      </x:c>
      <x:c r="D22" s="21" t="str">
        <x:v>Identificador único de la imagen.</x:v>
      </x:c>
      <x:c r="E22" s="24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6:J16"/>
    <x:mergeCell ref="A20:J2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CategoriaServicio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Clasificación general empleada para organizar los servicios ofrecidos en Moica.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73" t="str">
        <x:v>Bloque</x:v>
      </x:c>
      <x:c r="B4" s="35" t="str">
        <x:v>Servicios</x:v>
      </x:c>
      <x:c r="C4" s="36"/>
      <x:c r="D4" s="73" t="str">
        <x:v>Naturaleza</x:v>
      </x:c>
      <x:c r="E4" s="35" t="str">
        <x:v>Catálogo</x:v>
      </x:c>
      <x:c r="F4" s="36"/>
      <x:c r="G4" s="73" t="str">
        <x:v>Clave primaria</x:v>
      </x:c>
      <x:c r="H4" s="40" t="str">
        <x:v>idCategoriaServicio</x:v>
      </x:c>
      <x:c r="I4" s="73" t="str">
        <x:v>Atributos</x:v>
      </x:c>
      <x:c r="J4" s="40" t="n">
        <x:f>COUNTA(A9:A11)</x:f>
        <x:v>3</x:v>
      </x:c>
    </x:row>
    <x:row r="5" ht="30" customHeight="1">
      <x:c r="A5" s="73" t="str">
        <x:v>Relaciones</x:v>
      </x:c>
      <x:c r="B5" s="40" t="n">
        <x:f>COUNTA(A15:A15)</x:f>
        <x:v>1</x:v>
      </x:c>
      <x:c r="D5" s="73" t="str">
        <x:v>Restricciones BD</x:v>
      </x:c>
      <x:c r="E5" s="40" t="n">
        <x:f>COUNTA(B19:B20)</x:f>
        <x:v>2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75" t="str">
        <x:v>Atributos</x:v>
      </x:c>
      <x:c r="B7" s="75"/>
      <x:c r="C7" s="75"/>
      <x:c r="D7" s="75"/>
      <x:c r="E7" s="75"/>
      <x:c r="F7" s="75"/>
      <x:c r="G7" s="75"/>
      <x:c r="H7" s="75"/>
      <x:c r="I7" s="75"/>
      <x:c r="J7" s="75"/>
    </x:row>
    <x:row r="8" ht="30" customHeight="1">
      <x:c r="A8" s="73" t="str">
        <x:v>Atributo</x:v>
      </x:c>
      <x:c r="B8" s="73" t="str">
        <x:v>Descripción</x:v>
      </x:c>
      <x:c r="C8" s="73" t="str">
        <x:v>Tipo PostgreSQL</x:v>
      </x:c>
      <x:c r="D8" s="73" t="str">
        <x:v>Clave</x:v>
      </x:c>
      <x:c r="E8" s="73" t="str">
        <x:v>Nulo</x:v>
      </x:c>
      <x:c r="F8" s="73" t="str">
        <x:v>Predeterminado</x:v>
      </x:c>
      <x:c r="G8" s="73" t="str">
        <x:v>Dominio o referencia</x:v>
      </x:c>
      <x:c r="H8" s="73" t="str">
        <x:v>Regla o validación</x:v>
      </x:c>
      <x:c r="I8" s="73" t="str">
        <x:v>Responsable</x:v>
      </x:c>
      <x:c r="J8" s="73" t="str">
        <x:v>Naturaleza</x:v>
      </x:c>
    </x:row>
    <x:row r="9" ht="46" customHeight="1">
      <x:c r="A9" s="21" t="str">
        <x:v>idCategoriaServicio</x:v>
      </x:c>
      <x:c r="B9" s="21" t="str">
        <x:v>Identificador técnico de la categoría.</x:v>
      </x:c>
      <x:c r="C9" s="24" t="str">
        <x:v>smallint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nombre</x:v>
      </x:c>
      <x:c r="B10" s="23" t="str">
        <x:v>Nombre de la categoría general.</x:v>
      </x:c>
      <x:c r="C10" s="25" t="str">
        <x:v>varchar(100)</x:v>
      </x:c>
      <x:c r="D10" s="25" t="str">
        <x:v>UQ</x:v>
      </x:c>
      <x:c r="E10" s="25" t="str">
        <x:v>NO</x:v>
      </x:c>
      <x:c r="F10" s="25" t="str">
        <x:v>—</x:v>
      </x:c>
      <x:c r="G10" s="25" t="str">
        <x:v>—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descripcion</x:v>
      </x:c>
      <x:c r="B11" s="22" t="str">
        <x:v>Explicación opcional del alcance de la categoría.</x:v>
      </x:c>
      <x:c r="C11" s="26" t="str">
        <x:v>text</x:v>
      </x:c>
      <x:c r="D11" s="26" t="str">
        <x:v>—</x:v>
      </x:c>
      <x:c r="E11" s="26" t="str">
        <x:v>SÍ</x:v>
      </x:c>
      <x:c r="F11" s="26" t="str">
        <x:v>—</x:v>
      </x:c>
      <x:c r="G11" s="26" t="str">
        <x:v>—</x:v>
      </x:c>
      <x:c r="H11" s="22" t="str">
        <x:v>—</x:v>
      </x:c>
      <x:c r="I11" s="26" t="str">
        <x:v>—</x:v>
      </x:c>
      <x:c r="J11" s="26" t="str">
        <x:v>Negocio</x:v>
      </x:c>
    </x:row>
    <x:row r="13" ht="24" customHeight="1">
      <x:c r="A13" s="75" t="str">
        <x:v>Relaciones directas</x:v>
      </x:c>
      <x:c r="B13" s="75"/>
      <x:c r="C13" s="75"/>
      <x:c r="D13" s="75"/>
      <x:c r="E13" s="75"/>
      <x:c r="F13" s="75"/>
      <x:c r="G13" s="75"/>
      <x:c r="H13" s="75"/>
      <x:c r="I13" s="75"/>
      <x:c r="J13" s="75"/>
    </x:row>
    <x:row r="14" ht="30" customHeight="1">
      <x:c r="A14" s="73" t="str">
        <x:v>Relación</x:v>
      </x:c>
      <x:c r="B14" s="73" t="str">
        <x:v>Origen</x:v>
      </x:c>
      <x:c r="C14" s="73" t="str">
        <x:v>Destino</x:v>
      </x:c>
      <x:c r="D14" s="73" t="str">
        <x:v>Cardinalidad</x:v>
      </x:c>
      <x:c r="E14" s="73" t="str">
        <x:v>FK en destino</x:v>
      </x:c>
      <x:c r="F14" s="73" t="str">
        <x:v>ON DELETE</x:v>
      </x:c>
      <x:c r="G14" s="73" t="str">
        <x:v>Significado</x:v>
      </x:c>
    </x:row>
    <x:row r="15" ht="42" customHeight="1">
      <x:c r="A15" s="21" t="str">
        <x:v>categoriaServicioSubcategoria</x:v>
      </x:c>
      <x:c r="B15" s="24" t="str">
        <x:v>CategoriaServicio</x:v>
      </x:c>
      <x:c r="C15" s="24" t="str">
        <x:v>SubcategoriaServicio</x:v>
      </x:c>
      <x:c r="D15" s="24" t="str">
        <x:v>1 a 0..N</x:v>
      </x:c>
      <x:c r="E15" s="24" t="str">
        <x:v>SubcategoriaServicio.idCategoriaServicio</x:v>
      </x:c>
      <x:c r="F15" s="24" t="str">
        <x:v>RESTRICT</x:v>
      </x:c>
      <x:c r="G15" s="21" t="str">
        <x:v>Una categoría agrupa subcategorías.</x:v>
      </x:c>
    </x:row>
    <x:row r="17" ht="24" customHeight="1">
      <x:c r="A17" s="75" t="str">
        <x:v>Restricciones implementadas en la base de datos</x:v>
      </x:c>
      <x:c r="B17" s="75"/>
      <x:c r="C17" s="75"/>
      <x:c r="D17" s="75"/>
      <x:c r="E17" s="75"/>
      <x:c r="F17" s="75"/>
      <x:c r="G17" s="75"/>
      <x:c r="H17" s="75"/>
      <x:c r="I17" s="75"/>
      <x:c r="J17" s="75"/>
    </x:row>
    <x:row r="18" ht="30" customHeight="1">
      <x:c r="A18" s="73" t="str">
        <x:v>Tipo</x:v>
      </x:c>
      <x:c r="B18" s="73" t="str">
        <x:v>Nombre</x:v>
      </x:c>
      <x:c r="C18" s="73" t="str">
        <x:v>Columnas</x:v>
      </x:c>
      <x:c r="D18" s="73" t="str">
        <x:v>Regla</x:v>
      </x:c>
      <x:c r="E18" s="73" t="str">
        <x:v>Capa</x:v>
      </x:c>
    </x:row>
    <x:row r="19" ht="38" customHeight="1">
      <x:c r="A19" s="24" t="str">
        <x:v>PK</x:v>
      </x:c>
      <x:c r="B19" s="24" t="str">
        <x:v>pkCategoriaServicio</x:v>
      </x:c>
      <x:c r="C19" s="24" t="str">
        <x:v>idCategoriaServicio</x:v>
      </x:c>
      <x:c r="D19" s="21" t="str">
        <x:v>Identificador único de la categoría.</x:v>
      </x:c>
      <x:c r="E19" s="24" t="str">
        <x:v>Base de datos</x:v>
      </x:c>
    </x:row>
    <x:row r="20" ht="38" customHeight="1">
      <x:c r="A20" s="25" t="str">
        <x:v>UQ</x:v>
      </x:c>
      <x:c r="B20" s="25" t="str">
        <x:v>uqCategoriaServicioNombre</x:v>
      </x:c>
      <x:c r="C20" s="25" t="str">
        <x:v>nombre</x:v>
      </x:c>
      <x:c r="D20" s="23" t="str">
        <x:v>No admite categorías duplicadas.</x:v>
      </x:c>
      <x:c r="E20" s="25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3:J13"/>
    <x:mergeCell ref="A17:J1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SubcategoriaServicio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Clasificación específica perteneciente a una categoría y utilizada para clasificar servicios publicados.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73" t="str">
        <x:v>Bloque</x:v>
      </x:c>
      <x:c r="B4" s="35" t="str">
        <x:v>Servicios</x:v>
      </x:c>
      <x:c r="C4" s="36"/>
      <x:c r="D4" s="73" t="str">
        <x:v>Naturaleza</x:v>
      </x:c>
      <x:c r="E4" s="35" t="str">
        <x:v>Catálogo</x:v>
      </x:c>
      <x:c r="F4" s="36"/>
      <x:c r="G4" s="73" t="str">
        <x:v>Clave primaria</x:v>
      </x:c>
      <x:c r="H4" s="40" t="str">
        <x:v>idSubcategoriaServicio</x:v>
      </x:c>
      <x:c r="I4" s="73" t="str">
        <x:v>Atributos</x:v>
      </x:c>
      <x:c r="J4" s="40" t="n">
        <x:f>COUNTA(A9:A12)</x:f>
        <x:v>4</x:v>
      </x:c>
    </x:row>
    <x:row r="5" ht="30" customHeight="1">
      <x:c r="A5" s="73" t="str">
        <x:v>Relaciones</x:v>
      </x:c>
      <x:c r="B5" s="40" t="n">
        <x:f>COUNTA(A16:A17)</x:f>
        <x:v>2</x:v>
      </x:c>
      <x:c r="D5" s="73" t="str">
        <x:v>Restricciones BD</x:v>
      </x:c>
      <x:c r="E5" s="40" t="n">
        <x:f>COUNTA(B21:B22)</x:f>
        <x:v>2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75" t="str">
        <x:v>Atributos</x:v>
      </x:c>
      <x:c r="B7" s="75"/>
      <x:c r="C7" s="75"/>
      <x:c r="D7" s="75"/>
      <x:c r="E7" s="75"/>
      <x:c r="F7" s="75"/>
      <x:c r="G7" s="75"/>
      <x:c r="H7" s="75"/>
      <x:c r="I7" s="75"/>
      <x:c r="J7" s="75"/>
    </x:row>
    <x:row r="8" ht="30" customHeight="1">
      <x:c r="A8" s="73" t="str">
        <x:v>Atributo</x:v>
      </x:c>
      <x:c r="B8" s="73" t="str">
        <x:v>Descripción</x:v>
      </x:c>
      <x:c r="C8" s="73" t="str">
        <x:v>Tipo PostgreSQL</x:v>
      </x:c>
      <x:c r="D8" s="73" t="str">
        <x:v>Clave</x:v>
      </x:c>
      <x:c r="E8" s="73" t="str">
        <x:v>Nulo</x:v>
      </x:c>
      <x:c r="F8" s="73" t="str">
        <x:v>Predeterminado</x:v>
      </x:c>
      <x:c r="G8" s="73" t="str">
        <x:v>Dominio o referencia</x:v>
      </x:c>
      <x:c r="H8" s="73" t="str">
        <x:v>Regla o validación</x:v>
      </x:c>
      <x:c r="I8" s="73" t="str">
        <x:v>Responsable</x:v>
      </x:c>
      <x:c r="J8" s="73" t="str">
        <x:v>Naturaleza</x:v>
      </x:c>
    </x:row>
    <x:row r="9" ht="46" customHeight="1">
      <x:c r="A9" s="21" t="str">
        <x:v>idSubcategoriaServicio</x:v>
      </x:c>
      <x:c r="B9" s="21" t="str">
        <x:v>Identificador técnico de la subcategoría.</x:v>
      </x:c>
      <x:c r="C9" s="24" t="str">
        <x:v>integer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idCategoriaServicio</x:v>
      </x:c>
      <x:c r="B10" s="23" t="str">
        <x:v>Categoría general a la que pertenece la subcategoría.</x:v>
      </x:c>
      <x:c r="C10" s="25" t="str">
        <x:v>smallint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CategoriaServicio.idCategoriaServicio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nombre</x:v>
      </x:c>
      <x:c r="B11" s="22" t="str">
        <x:v>Nombre de la subcategoría.</x:v>
      </x:c>
      <x:c r="C11" s="26" t="str">
        <x:v>varchar(100)</x:v>
      </x:c>
      <x:c r="D11" s="26" t="str">
        <x:v>UQ compuesta</x:v>
      </x:c>
      <x:c r="E11" s="26" t="str">
        <x:v>NO</x:v>
      </x:c>
      <x:c r="F11" s="26" t="str">
        <x:v>—</x:v>
      </x:c>
      <x:c r="G11" s="26" t="str">
        <x:v>—</x:v>
      </x:c>
      <x:c r="H11" s="22" t="str">
        <x:v>No se repite dentro de la misma categoría.</x:v>
      </x:c>
      <x:c r="I11" s="26" t="str">
        <x:v>Base de datos</x:v>
      </x:c>
      <x:c r="J11" s="26" t="str">
        <x:v>Negocio</x:v>
      </x:c>
    </x:row>
    <x:row r="12" ht="46" customHeight="1">
      <x:c r="A12" s="23" t="str">
        <x:v>descripcion</x:v>
      </x:c>
      <x:c r="B12" s="23" t="str">
        <x:v>Explicación opcional del alcance de la subcategoría.</x:v>
      </x:c>
      <x:c r="C12" s="25" t="str">
        <x:v>text</x:v>
      </x:c>
      <x:c r="D12" s="25" t="str">
        <x:v>—</x:v>
      </x:c>
      <x:c r="E12" s="25" t="str">
        <x:v>SÍ</x:v>
      </x:c>
      <x:c r="F12" s="25" t="str">
        <x:v>—</x:v>
      </x:c>
      <x:c r="G12" s="25" t="str">
        <x:v>—</x:v>
      </x:c>
      <x:c r="H12" s="23" t="str">
        <x:v>—</x:v>
      </x:c>
      <x:c r="I12" s="25" t="str">
        <x:v>—</x:v>
      </x:c>
      <x:c r="J12" s="25" t="str">
        <x:v>Negocio</x:v>
      </x:c>
    </x:row>
    <x:row r="14" ht="24" customHeight="1">
      <x:c r="A14" s="75" t="str">
        <x:v>Relaciones directas</x:v>
      </x:c>
      <x:c r="B14" s="75"/>
      <x:c r="C14" s="75"/>
      <x:c r="D14" s="75"/>
      <x:c r="E14" s="75"/>
      <x:c r="F14" s="75"/>
      <x:c r="G14" s="75"/>
      <x:c r="H14" s="75"/>
      <x:c r="I14" s="75"/>
      <x:c r="J14" s="75"/>
    </x:row>
    <x:row r="15" ht="30" customHeight="1">
      <x:c r="A15" s="73" t="str">
        <x:v>Relación</x:v>
      </x:c>
      <x:c r="B15" s="73" t="str">
        <x:v>Origen</x:v>
      </x:c>
      <x:c r="C15" s="73" t="str">
        <x:v>Destino</x:v>
      </x:c>
      <x:c r="D15" s="73" t="str">
        <x:v>Cardinalidad</x:v>
      </x:c>
      <x:c r="E15" s="73" t="str">
        <x:v>FK en destino</x:v>
      </x:c>
      <x:c r="F15" s="73" t="str">
        <x:v>ON DELETE</x:v>
      </x:c>
      <x:c r="G15" s="73" t="str">
        <x:v>Significado</x:v>
      </x:c>
    </x:row>
    <x:row r="16" ht="42" customHeight="1">
      <x:c r="A16" s="21" t="str">
        <x:v>categoriaServicioSubcategoria</x:v>
      </x:c>
      <x:c r="B16" s="24" t="str">
        <x:v>CategoriaServicio</x:v>
      </x:c>
      <x:c r="C16" s="24" t="str">
        <x:v>SubcategoriaServicio</x:v>
      </x:c>
      <x:c r="D16" s="24" t="str">
        <x:v>1 a 0..N</x:v>
      </x:c>
      <x:c r="E16" s="24" t="str">
        <x:v>SubcategoriaServicio.idCategoriaServicio</x:v>
      </x:c>
      <x:c r="F16" s="24" t="str">
        <x:v>RESTRICT</x:v>
      </x:c>
      <x:c r="G16" s="21" t="str">
        <x:v>Una categoría agrupa subcategorías.</x:v>
      </x:c>
    </x:row>
    <x:row r="17" ht="42" customHeight="1">
      <x:c r="A17" s="23" t="str">
        <x:v>subcategoriaServicioServicioPublicado</x:v>
      </x:c>
      <x:c r="B17" s="25" t="str">
        <x:v>SubcategoriaServicio</x:v>
      </x:c>
      <x:c r="C17" s="25" t="str">
        <x:v>ServicioPublicado</x:v>
      </x:c>
      <x:c r="D17" s="25" t="str">
        <x:v>1 a 0..N</x:v>
      </x:c>
      <x:c r="E17" s="25" t="str">
        <x:v>ServicioPublicado.idSubcategoriaServicio</x:v>
      </x:c>
      <x:c r="F17" s="25" t="str">
        <x:v>RESTRICT</x:v>
      </x:c>
      <x:c r="G17" s="23" t="str">
        <x:v>Cada servicio pertenece a una subcategoría.</x:v>
      </x:c>
    </x:row>
    <x:row r="19" ht="24" customHeight="1">
      <x:c r="A19" s="75" t="str">
        <x:v>Restricciones implementadas en la base de datos</x:v>
      </x:c>
      <x:c r="B19" s="75"/>
      <x:c r="C19" s="75"/>
      <x:c r="D19" s="75"/>
      <x:c r="E19" s="75"/>
      <x:c r="F19" s="75"/>
      <x:c r="G19" s="75"/>
      <x:c r="H19" s="75"/>
      <x:c r="I19" s="75"/>
      <x:c r="J19" s="75"/>
    </x:row>
    <x:row r="20" ht="30" customHeight="1">
      <x:c r="A20" s="73" t="str">
        <x:v>Tipo</x:v>
      </x:c>
      <x:c r="B20" s="73" t="str">
        <x:v>Nombre</x:v>
      </x:c>
      <x:c r="C20" s="73" t="str">
        <x:v>Columnas</x:v>
      </x:c>
      <x:c r="D20" s="73" t="str">
        <x:v>Regla</x:v>
      </x:c>
      <x:c r="E20" s="73" t="str">
        <x:v>Capa</x:v>
      </x:c>
    </x:row>
    <x:row r="21" ht="38" customHeight="1">
      <x:c r="A21" s="24" t="str">
        <x:v>PK</x:v>
      </x:c>
      <x:c r="B21" s="24" t="str">
        <x:v>pkSubcategoriaServicio</x:v>
      </x:c>
      <x:c r="C21" s="24" t="str">
        <x:v>idSubcategoriaServicio</x:v>
      </x:c>
      <x:c r="D21" s="21" t="str">
        <x:v>Identificador único de la subcategoría.</x:v>
      </x:c>
      <x:c r="E21" s="24" t="str">
        <x:v>Base de datos</x:v>
      </x:c>
    </x:row>
    <x:row r="22" ht="38" customHeight="1">
      <x:c r="A22" s="25" t="str">
        <x:v>UQ</x:v>
      </x:c>
      <x:c r="B22" s="25" t="str">
        <x:v>uqSubcategoriaServicioCategoriaNombre</x:v>
      </x:c>
      <x:c r="C22" s="25" t="str">
        <x:v>idCategoriaServicio, nombre</x:v>
      </x:c>
      <x:c r="D22" s="23" t="str">
        <x:v>No repite una subcategoría dentro de la misma categoría.</x:v>
      </x:c>
      <x:c r="E22" s="25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4:J14"/>
    <x:mergeCell ref="A19:J19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ServicioPublicado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Oferta concreta que un prestador publica para que los clientes puedan encontrarla y solicitarla.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73" t="str">
        <x:v>Bloque</x:v>
      </x:c>
      <x:c r="B4" s="35" t="str">
        <x:v>Servicios</x:v>
      </x:c>
      <x:c r="C4" s="36"/>
      <x:c r="D4" s="73" t="str">
        <x:v>Naturaleza</x:v>
      </x:c>
      <x:c r="E4" s="35" t="str">
        <x:v>Entidad principal</x:v>
      </x:c>
      <x:c r="F4" s="36"/>
      <x:c r="G4" s="73" t="str">
        <x:v>Clave primaria</x:v>
      </x:c>
      <x:c r="H4" s="40" t="str">
        <x:v>idServicioPublicado</x:v>
      </x:c>
      <x:c r="I4" s="73" t="str">
        <x:v>Atributos</x:v>
      </x:c>
      <x:c r="J4" s="40" t="n">
        <x:f>COUNTA(A9:A17)</x:f>
        <x:v>9</x:v>
      </x:c>
    </x:row>
    <x:row r="5" ht="30" customHeight="1">
      <x:c r="A5" s="73" t="str">
        <x:v>Relaciones</x:v>
      </x:c>
      <x:c r="B5" s="40" t="n">
        <x:f>COUNTA(A21:A24)</x:f>
        <x:v>4</x:v>
      </x:c>
      <x:c r="D5" s="73" t="str">
        <x:v>Restricciones BD</x:v>
      </x:c>
      <x:c r="E5" s="40" t="n">
        <x:f>COUNTA(B28:B29)</x:f>
        <x:v>2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75" t="str">
        <x:v>Atributos</x:v>
      </x:c>
      <x:c r="B7" s="75"/>
      <x:c r="C7" s="75"/>
      <x:c r="D7" s="75"/>
      <x:c r="E7" s="75"/>
      <x:c r="F7" s="75"/>
      <x:c r="G7" s="75"/>
      <x:c r="H7" s="75"/>
      <x:c r="I7" s="75"/>
      <x:c r="J7" s="75"/>
    </x:row>
    <x:row r="8" ht="30" customHeight="1">
      <x:c r="A8" s="73" t="str">
        <x:v>Atributo</x:v>
      </x:c>
      <x:c r="B8" s="73" t="str">
        <x:v>Descripción</x:v>
      </x:c>
      <x:c r="C8" s="73" t="str">
        <x:v>Tipo PostgreSQL</x:v>
      </x:c>
      <x:c r="D8" s="73" t="str">
        <x:v>Clave</x:v>
      </x:c>
      <x:c r="E8" s="73" t="str">
        <x:v>Nulo</x:v>
      </x:c>
      <x:c r="F8" s="73" t="str">
        <x:v>Predeterminado</x:v>
      </x:c>
      <x:c r="G8" s="73" t="str">
        <x:v>Dominio o referencia</x:v>
      </x:c>
      <x:c r="H8" s="73" t="str">
        <x:v>Regla o validación</x:v>
      </x:c>
      <x:c r="I8" s="73" t="str">
        <x:v>Responsable</x:v>
      </x:c>
      <x:c r="J8" s="73" t="str">
        <x:v>Naturaleza</x:v>
      </x:c>
    </x:row>
    <x:row r="9" ht="46" customHeight="1">
      <x:c r="A9" s="21" t="str">
        <x:v>idServicioPublicado</x:v>
      </x:c>
      <x:c r="B9" s="21" t="str">
        <x:v>Identificador técnico del servicio publicado.</x:v>
      </x:c>
      <x:c r="C9" s="24" t="str">
        <x:v>bigint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idPrestador</x:v>
      </x:c>
      <x:c r="B10" s="23" t="str">
        <x:v>Prestador que ofrece el servicio.</x:v>
      </x:c>
      <x:c r="C10" s="25" t="str">
        <x:v>bigint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PerfilPrestador.idPrestador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idSubcategoriaServicio</x:v>
      </x:c>
      <x:c r="B11" s="22" t="str">
        <x:v>Subcategoría en la que se clasifica el servicio.</x:v>
      </x:c>
      <x:c r="C11" s="26" t="str">
        <x:v>integer</x:v>
      </x:c>
      <x:c r="D11" s="26" t="str">
        <x:v>FK</x:v>
      </x:c>
      <x:c r="E11" s="26" t="str">
        <x:v>NO</x:v>
      </x:c>
      <x:c r="F11" s="26" t="str">
        <x:v>—</x:v>
      </x:c>
      <x:c r="G11" s="26" t="str">
        <x:v>SubcategoriaServicio.idSubcategoriaServicio</x:v>
      </x:c>
      <x:c r="H11" s="22" t="str">
        <x:v>—</x:v>
      </x:c>
      <x:c r="I11" s="26" t="str">
        <x:v>Base de datos</x:v>
      </x:c>
      <x:c r="J11" s="26" t="str">
        <x:v>Negocio</x:v>
      </x:c>
    </x:row>
    <x:row r="12" ht="46" customHeight="1">
      <x:c r="A12" s="23" t="str">
        <x:v>nombre</x:v>
      </x:c>
      <x:c r="B12" s="23" t="str">
        <x:v>Nombre público del servicio.</x:v>
      </x:c>
      <x:c r="C12" s="25" t="str">
        <x:v>varchar(150)</x:v>
      </x:c>
      <x:c r="D12" s="25" t="str">
        <x:v>—</x:v>
      </x:c>
      <x:c r="E12" s="25" t="str">
        <x:v>NO</x:v>
      </x:c>
      <x:c r="F12" s="25" t="str">
        <x:v>—</x:v>
      </x:c>
      <x:c r="G12" s="25" t="str">
        <x:v>—</x:v>
      </x:c>
      <x:c r="H12" s="23" t="str">
        <x:v>—</x:v>
      </x:c>
      <x:c r="I12" s="25" t="str">
        <x:v>Base de datos</x:v>
      </x:c>
      <x:c r="J12" s="25" t="str">
        <x:v>Negocio</x:v>
      </x:c>
    </x:row>
    <x:row r="13" ht="46" customHeight="1">
      <x:c r="A13" s="22" t="str">
        <x:v>descripcion</x:v>
      </x:c>
      <x:c r="B13" s="22" t="str">
        <x:v>Explicación del servicio ofrecido.</x:v>
      </x:c>
      <x:c r="C13" s="26" t="str">
        <x:v>text</x:v>
      </x:c>
      <x:c r="D13" s="26" t="str">
        <x:v>—</x:v>
      </x:c>
      <x:c r="E13" s="26" t="str">
        <x:v>NO</x:v>
      </x:c>
      <x:c r="F13" s="26" t="str">
        <x:v>—</x:v>
      </x:c>
      <x:c r="G13" s="26" t="str">
        <x:v>—</x:v>
      </x:c>
      <x:c r="H13" s="22" t="str">
        <x:v>—</x:v>
      </x:c>
      <x:c r="I13" s="26" t="str">
        <x:v>Base de datos</x:v>
      </x:c>
      <x:c r="J13" s="26" t="str">
        <x:v>Negocio</x:v>
      </x:c>
    </x:row>
    <x:row r="14" ht="46" customHeight="1">
      <x:c r="A14" s="23" t="str">
        <x:v>precioReferencia</x:v>
      </x:c>
      <x:c r="B14" s="23" t="str">
        <x:v>Precio orientativo del servicio; si es nulo, se mostrará «A convenir».</x:v>
      </x:c>
      <x:c r="C14" s="25" t="str">
        <x:v>numeric(12,2)</x:v>
      </x:c>
      <x:c r="D14" s="25" t="str">
        <x:v>—</x:v>
      </x:c>
      <x:c r="E14" s="25" t="str">
        <x:v>SÍ</x:v>
      </x:c>
      <x:c r="F14" s="25" t="str">
        <x:v>—</x:v>
      </x:c>
      <x:c r="G14" s="25" t="str">
        <x:v>—</x:v>
      </x:c>
      <x:c r="H14" s="23" t="str">
        <x:v>Si existe, debe ser mayor que cero.</x:v>
      </x:c>
      <x:c r="I14" s="25" t="str">
        <x:v>BD + aplicación</x:v>
      </x:c>
      <x:c r="J14" s="25" t="str">
        <x:v>Negocio</x:v>
      </x:c>
    </x:row>
    <x:row r="15" ht="46" customHeight="1">
      <x:c r="A15" s="22" t="str">
        <x:v>estado</x:v>
      </x:c>
      <x:c r="B15" s="22" t="str">
        <x:v>Indica si el servicio puede mostrarse y recibir solicitudes.</x:v>
      </x:c>
      <x:c r="C15" s="26" t="str">
        <x:v>EstadoServicio</x:v>
      </x:c>
      <x:c r="D15" s="26" t="str">
        <x:v>—</x:v>
      </x:c>
      <x:c r="E15" s="26" t="str">
        <x:v>NO</x:v>
      </x:c>
      <x:c r="F15" s="26" t="str">
        <x:v>ACTIVO</x:v>
      </x:c>
      <x:c r="G15" s="26" t="str">
        <x:v>Dominio EstadoServicio</x:v>
      </x:c>
      <x:c r="H15" s="22" t="str">
        <x:v>Debe pertenecer al dominio definido.</x:v>
      </x:c>
      <x:c r="I15" s="26" t="str">
        <x:v>Base de datos</x:v>
      </x:c>
      <x:c r="J15" s="26" t="str">
        <x:v>Negocio</x:v>
      </x:c>
    </x:row>
    <x:row r="16" ht="46" customHeight="1">
      <x:c r="A16" s="23" t="str">
        <x:v>fechaCreacion</x:v>
      </x:c>
      <x:c r="B16" s="23" t="str">
        <x:v>Instante en que se publicó el servicio.</x:v>
      </x:c>
      <x:c r="C16" s="25" t="str">
        <x:v>timestamptz</x:v>
      </x:c>
      <x:c r="D16" s="25" t="str">
        <x:v>—</x:v>
      </x:c>
      <x:c r="E16" s="25" t="str">
        <x:v>NO</x:v>
      </x:c>
      <x:c r="F16" s="25" t="str">
        <x:v>CURRENT_TIMESTAMP</x:v>
      </x:c>
      <x:c r="G16" s="25" t="str">
        <x:v>—</x:v>
      </x:c>
      <x:c r="H16" s="23" t="str">
        <x:v>—</x:v>
      </x:c>
      <x:c r="I16" s="25" t="str">
        <x:v>Base de datos</x:v>
      </x:c>
      <x:c r="J16" s="25" t="str">
        <x:v>Auditoría</x:v>
      </x:c>
    </x:row>
    <x:row r="17" ht="46" customHeight="1">
      <x:c r="A17" s="22" t="str">
        <x:v>fechaActualizacion</x:v>
      </x:c>
      <x:c r="B17" s="22" t="str">
        <x:v>Instante de la última modificación del servicio.</x:v>
      </x:c>
      <x:c r="C17" s="26" t="str">
        <x:v>timestamptz</x:v>
      </x:c>
      <x:c r="D17" s="26" t="str">
        <x:v>—</x:v>
      </x:c>
      <x:c r="E17" s="26" t="str">
        <x:v>NO</x:v>
      </x:c>
      <x:c r="F17" s="26" t="str">
        <x:v>CURRENT_TIMESTAMP</x:v>
      </x:c>
      <x:c r="G17" s="26" t="str">
        <x:v>—</x:v>
      </x:c>
      <x:c r="H17" s="22" t="str">
        <x:v>La aplicación actualiza este valor cada vez que modifica el registro.</x:v>
      </x:c>
      <x:c r="I17" s="26" t="str">
        <x:v>Aplicación</x:v>
      </x:c>
      <x:c r="J17" s="26" t="str">
        <x:v>Auditoría</x:v>
      </x:c>
    </x:row>
    <x:row r="19" ht="24" customHeight="1">
      <x:c r="A19" s="75" t="str">
        <x:v>Relaciones directas</x:v>
      </x:c>
      <x:c r="B19" s="75"/>
      <x:c r="C19" s="75"/>
      <x:c r="D19" s="75"/>
      <x:c r="E19" s="75"/>
      <x:c r="F19" s="75"/>
      <x:c r="G19" s="75"/>
      <x:c r="H19" s="75"/>
      <x:c r="I19" s="75"/>
      <x:c r="J19" s="75"/>
    </x:row>
    <x:row r="20" ht="30" customHeight="1">
      <x:c r="A20" s="73" t="str">
        <x:v>Relación</x:v>
      </x:c>
      <x:c r="B20" s="73" t="str">
        <x:v>Origen</x:v>
      </x:c>
      <x:c r="C20" s="73" t="str">
        <x:v>Destino</x:v>
      </x:c>
      <x:c r="D20" s="73" t="str">
        <x:v>Cardinalidad</x:v>
      </x:c>
      <x:c r="E20" s="73" t="str">
        <x:v>FK en destino</x:v>
      </x:c>
      <x:c r="F20" s="73" t="str">
        <x:v>ON DELETE</x:v>
      </x:c>
      <x:c r="G20" s="73" t="str">
        <x:v>Significado</x:v>
      </x:c>
    </x:row>
    <x:row r="21" ht="42" customHeight="1">
      <x:c r="A21" s="21" t="str">
        <x:v>subcategoriaServicioServicioPublicado</x:v>
      </x:c>
      <x:c r="B21" s="24" t="str">
        <x:v>SubcategoriaServicio</x:v>
      </x:c>
      <x:c r="C21" s="24" t="str">
        <x:v>ServicioPublicado</x:v>
      </x:c>
      <x:c r="D21" s="24" t="str">
        <x:v>1 a 0..N</x:v>
      </x:c>
      <x:c r="E21" s="24" t="str">
        <x:v>ServicioPublicado.idSubcategoriaServicio</x:v>
      </x:c>
      <x:c r="F21" s="24" t="str">
        <x:v>RESTRICT</x:v>
      </x:c>
      <x:c r="G21" s="21" t="str">
        <x:v>Cada servicio pertenece a una subcategoría.</x:v>
      </x:c>
    </x:row>
    <x:row r="22" ht="42" customHeight="1">
      <x:c r="A22" s="23" t="str">
        <x:v>perfilPrestadorServicioPublicado</x:v>
      </x:c>
      <x:c r="B22" s="25" t="str">
        <x:v>PerfilPrestador</x:v>
      </x:c>
      <x:c r="C22" s="25" t="str">
        <x:v>ServicioPublicado</x:v>
      </x:c>
      <x:c r="D22" s="25" t="str">
        <x:v>1 a 0..N</x:v>
      </x:c>
      <x:c r="E22" s="25" t="str">
        <x:v>ServicioPublicado.idPrestador</x:v>
      </x:c>
      <x:c r="F22" s="25" t="str">
        <x:v>RESTRICT</x:v>
      </x:c>
      <x:c r="G22" s="23" t="str">
        <x:v>Un prestador puede publicar varios servicios.</x:v>
      </x:c>
    </x:row>
    <x:row r="23" ht="42" customHeight="1">
      <x:c r="A23" s="22" t="str">
        <x:v>servicioPublicadoImagenServicio</x:v>
      </x:c>
      <x:c r="B23" s="26" t="str">
        <x:v>ServicioPublicado</x:v>
      </x:c>
      <x:c r="C23" s="26" t="str">
        <x:v>ImagenServicioPublicado</x:v>
      </x:c>
      <x:c r="D23" s="26" t="str">
        <x:v>1 a 0..N</x:v>
      </x:c>
      <x:c r="E23" s="26" t="str">
        <x:v>ImagenServicioPublicado.idServicioPublicado</x:v>
      </x:c>
      <x:c r="F23" s="26" t="str">
        <x:v>CASCADE</x:v>
      </x:c>
      <x:c r="G23" s="22" t="str">
        <x:v>Un servicio puede mostrar varias imágenes.</x:v>
      </x:c>
    </x:row>
    <x:row r="24" ht="42" customHeight="1">
      <x:c r="A24" s="23" t="str">
        <x:v>servicioPublicadoSolicitudServicio</x:v>
      </x:c>
      <x:c r="B24" s="25" t="str">
        <x:v>ServicioPublicado</x:v>
      </x:c>
      <x:c r="C24" s="25" t="str">
        <x:v>SolicitudServicio</x:v>
      </x:c>
      <x:c r="D24" s="25" t="str">
        <x:v>1 a 0..N</x:v>
      </x:c>
      <x:c r="E24" s="25" t="str">
        <x:v>SolicitudServicio.idServicioPublicado</x:v>
      </x:c>
      <x:c r="F24" s="25" t="str">
        <x:v>RESTRICT</x:v>
      </x:c>
      <x:c r="G24" s="23" t="str">
        <x:v>Un servicio puede recibir varias solicitudes.</x:v>
      </x:c>
    </x:row>
    <x:row r="26" ht="24" customHeight="1">
      <x:c r="A26" s="75" t="str">
        <x:v>Restricciones implementadas en la base de datos</x:v>
      </x:c>
      <x:c r="B26" s="75"/>
      <x:c r="C26" s="75"/>
      <x:c r="D26" s="75"/>
      <x:c r="E26" s="75"/>
      <x:c r="F26" s="75"/>
      <x:c r="G26" s="75"/>
      <x:c r="H26" s="75"/>
      <x:c r="I26" s="75"/>
      <x:c r="J26" s="75"/>
    </x:row>
    <x:row r="27" ht="30" customHeight="1">
      <x:c r="A27" s="73" t="str">
        <x:v>Tipo</x:v>
      </x:c>
      <x:c r="B27" s="73" t="str">
        <x:v>Nombre</x:v>
      </x:c>
      <x:c r="C27" s="73" t="str">
        <x:v>Columnas</x:v>
      </x:c>
      <x:c r="D27" s="73" t="str">
        <x:v>Regla</x:v>
      </x:c>
      <x:c r="E27" s="73" t="str">
        <x:v>Capa</x:v>
      </x:c>
    </x:row>
    <x:row r="28" ht="38" customHeight="1">
      <x:c r="A28" s="24" t="str">
        <x:v>PK</x:v>
      </x:c>
      <x:c r="B28" s="24" t="str">
        <x:v>pkServicioPublicado</x:v>
      </x:c>
      <x:c r="C28" s="24" t="str">
        <x:v>idServicioPublicado</x:v>
      </x:c>
      <x:c r="D28" s="21" t="str">
        <x:v>Identificador único del servicio.</x:v>
      </x:c>
      <x:c r="E28" s="24" t="str">
        <x:v>Base de datos</x:v>
      </x:c>
    </x:row>
    <x:row r="29" ht="38" customHeight="1">
      <x:c r="A29" s="25" t="str">
        <x:v>CK</x:v>
      </x:c>
      <x:c r="B29" s="25" t="str">
        <x:v>ckServicioPublicadoPrecio</x:v>
      </x:c>
      <x:c r="C29" s="25" t="str">
        <x:v>precioReferencia</x:v>
      </x:c>
      <x:c r="D29" s="23" t="str">
        <x:v>precioReferencia IS NULL OR precioReferencia &gt; 0.</x:v>
      </x:c>
      <x:c r="E29" s="25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9:J19"/>
    <x:mergeCell ref="A26:J2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ImagenServicioPublicado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Imagen asociada con un servicio publicado.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73" t="str">
        <x:v>Bloque</x:v>
      </x:c>
      <x:c r="B4" s="35" t="str">
        <x:v>Servicios</x:v>
      </x:c>
      <x:c r="C4" s="36"/>
      <x:c r="D4" s="73" t="str">
        <x:v>Naturaleza</x:v>
      </x:c>
      <x:c r="E4" s="35" t="str">
        <x:v>Entidad dependiente</x:v>
      </x:c>
      <x:c r="F4" s="36"/>
      <x:c r="G4" s="73" t="str">
        <x:v>Clave primaria</x:v>
      </x:c>
      <x:c r="H4" s="40" t="str">
        <x:v>idImagenServicioPublicado</x:v>
      </x:c>
      <x:c r="I4" s="73" t="str">
        <x:v>Atributos</x:v>
      </x:c>
      <x:c r="J4" s="40" t="n">
        <x:f>COUNTA(A9:A14)</x:f>
        <x:v>6</x:v>
      </x:c>
    </x:row>
    <x:row r="5" ht="30" customHeight="1">
      <x:c r="A5" s="73" t="str">
        <x:v>Relaciones</x:v>
      </x:c>
      <x:c r="B5" s="40" t="n">
        <x:f>COUNTA(A18:A18)</x:f>
        <x:v>1</x:v>
      </x:c>
      <x:c r="D5" s="73" t="str">
        <x:v>Restricciones BD</x:v>
      </x:c>
      <x:c r="E5" s="40" t="n">
        <x:f>COUNTA(B22:B22)</x:f>
        <x:v>1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75" t="str">
        <x:v>Atributos</x:v>
      </x:c>
      <x:c r="B7" s="75"/>
      <x:c r="C7" s="75"/>
      <x:c r="D7" s="75"/>
      <x:c r="E7" s="75"/>
      <x:c r="F7" s="75"/>
      <x:c r="G7" s="75"/>
      <x:c r="H7" s="75"/>
      <x:c r="I7" s="75"/>
      <x:c r="J7" s="75"/>
    </x:row>
    <x:row r="8" ht="30" customHeight="1">
      <x:c r="A8" s="73" t="str">
        <x:v>Atributo</x:v>
      </x:c>
      <x:c r="B8" s="73" t="str">
        <x:v>Descripción</x:v>
      </x:c>
      <x:c r="C8" s="73" t="str">
        <x:v>Tipo PostgreSQL</x:v>
      </x:c>
      <x:c r="D8" s="73" t="str">
        <x:v>Clave</x:v>
      </x:c>
      <x:c r="E8" s="73" t="str">
        <x:v>Nulo</x:v>
      </x:c>
      <x:c r="F8" s="73" t="str">
        <x:v>Predeterminado</x:v>
      </x:c>
      <x:c r="G8" s="73" t="str">
        <x:v>Dominio o referencia</x:v>
      </x:c>
      <x:c r="H8" s="73" t="str">
        <x:v>Regla o validación</x:v>
      </x:c>
      <x:c r="I8" s="73" t="str">
        <x:v>Responsable</x:v>
      </x:c>
      <x:c r="J8" s="73" t="str">
        <x:v>Naturaleza</x:v>
      </x:c>
    </x:row>
    <x:row r="9" ht="46" customHeight="1">
      <x:c r="A9" s="21" t="str">
        <x:v>idImagenServicioPublicado</x:v>
      </x:c>
      <x:c r="B9" s="21" t="str">
        <x:v>Identificador técnico de la imagen.</x:v>
      </x:c>
      <x:c r="C9" s="24" t="str">
        <x:v>bigint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idServicioPublicado</x:v>
      </x:c>
      <x:c r="B10" s="23" t="str">
        <x:v>Servicio publicado al que pertenece la imagen.</x:v>
      </x:c>
      <x:c r="C10" s="25" t="str">
        <x:v>bigint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ServicioPublicado.idServicioPublicado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urlImagen</x:v>
      </x:c>
      <x:c r="B11" s="22" t="str">
        <x:v>Dirección del recurso que contiene la imagen.</x:v>
      </x:c>
      <x:c r="C11" s="26" t="str">
        <x:v>varchar(500)</x:v>
      </x:c>
      <x:c r="D11" s="26" t="str">
        <x:v>—</x:v>
      </x:c>
      <x:c r="E11" s="26" t="str">
        <x:v>NO</x:v>
      </x:c>
      <x:c r="F11" s="26" t="str">
        <x:v>—</x:v>
      </x:c>
      <x:c r="G11" s="26" t="str">
        <x:v>—</x:v>
      </x:c>
      <x:c r="H11" s="22" t="str">
        <x:v>—</x:v>
      </x:c>
      <x:c r="I11" s="26" t="str">
        <x:v>Base de datos</x:v>
      </x:c>
      <x:c r="J11" s="26" t="str">
        <x:v>Negocio</x:v>
      </x:c>
    </x:row>
    <x:row r="12" ht="46" customHeight="1">
      <x:c r="A12" s="23" t="str">
        <x:v>textoAlternativo</x:v>
      </x:c>
      <x:c r="B12" s="23" t="str">
        <x:v>Descripción breve de la imagen para accesibilidad.</x:v>
      </x:c>
      <x:c r="C12" s="25" t="str">
        <x:v>varchar(200)</x:v>
      </x:c>
      <x:c r="D12" s="25" t="str">
        <x:v>—</x:v>
      </x:c>
      <x:c r="E12" s="25" t="str">
        <x:v>SÍ</x:v>
      </x:c>
      <x:c r="F12" s="25" t="str">
        <x:v>—</x:v>
      </x:c>
      <x:c r="G12" s="25" t="str">
        <x:v>—</x:v>
      </x:c>
      <x:c r="H12" s="23" t="str">
        <x:v>—</x:v>
      </x:c>
      <x:c r="I12" s="25" t="str">
        <x:v>—</x:v>
      </x:c>
      <x:c r="J12" s="25" t="str">
        <x:v>Negocio</x:v>
      </x:c>
    </x:row>
    <x:row r="13" ht="46" customHeight="1">
      <x:c r="A13" s="22" t="str">
        <x:v>ordenVisualizacion</x:v>
      </x:c>
      <x:c r="B13" s="22" t="str">
        <x:v>Posición relativa de la imagen dentro del servicio.</x:v>
      </x:c>
      <x:c r="C13" s="26" t="str">
        <x:v>smallint</x:v>
      </x:c>
      <x:c r="D13" s="26" t="str">
        <x:v>—</x:v>
      </x:c>
      <x:c r="E13" s="26" t="str">
        <x:v>NO</x:v>
      </x:c>
      <x:c r="F13" s="26" t="str">
        <x:v>0</x:v>
      </x:c>
      <x:c r="G13" s="26" t="str">
        <x:v>—</x:v>
      </x:c>
      <x:c r="H13" s="22" t="str">
        <x:v>Debe ser mayor o igual que cero.</x:v>
      </x:c>
      <x:c r="I13" s="26" t="str">
        <x:v>Aplicación</x:v>
      </x:c>
      <x:c r="J13" s="26" t="str">
        <x:v>Negocio</x:v>
      </x:c>
    </x:row>
    <x:row r="14" ht="46" customHeight="1">
      <x:c r="A14" s="23" t="str">
        <x:v>fechaCreacion</x:v>
      </x:c>
      <x:c r="B14" s="23" t="str">
        <x:v>Instante en que se agregó la imagen.</x:v>
      </x:c>
      <x:c r="C14" s="25" t="str">
        <x:v>timestamptz</x:v>
      </x:c>
      <x:c r="D14" s="25" t="str">
        <x:v>—</x:v>
      </x:c>
      <x:c r="E14" s="25" t="str">
        <x:v>NO</x:v>
      </x:c>
      <x:c r="F14" s="25" t="str">
        <x:v>CURRENT_TIMESTAMP</x:v>
      </x:c>
      <x:c r="G14" s="25" t="str">
        <x:v>—</x:v>
      </x:c>
      <x:c r="H14" s="23" t="str">
        <x:v>—</x:v>
      </x:c>
      <x:c r="I14" s="25" t="str">
        <x:v>Base de datos</x:v>
      </x:c>
      <x:c r="J14" s="25" t="str">
        <x:v>Auditoría</x:v>
      </x:c>
    </x:row>
    <x:row r="16" ht="24" customHeight="1">
      <x:c r="A16" s="75" t="str">
        <x:v>Relaciones directas</x:v>
      </x:c>
      <x:c r="B16" s="75"/>
      <x:c r="C16" s="75"/>
      <x:c r="D16" s="75"/>
      <x:c r="E16" s="75"/>
      <x:c r="F16" s="75"/>
      <x:c r="G16" s="75"/>
      <x:c r="H16" s="75"/>
      <x:c r="I16" s="75"/>
      <x:c r="J16" s="75"/>
    </x:row>
    <x:row r="17" ht="30" customHeight="1">
      <x:c r="A17" s="73" t="str">
        <x:v>Relación</x:v>
      </x:c>
      <x:c r="B17" s="73" t="str">
        <x:v>Origen</x:v>
      </x:c>
      <x:c r="C17" s="73" t="str">
        <x:v>Destino</x:v>
      </x:c>
      <x:c r="D17" s="73" t="str">
        <x:v>Cardinalidad</x:v>
      </x:c>
      <x:c r="E17" s="73" t="str">
        <x:v>FK en destino</x:v>
      </x:c>
      <x:c r="F17" s="73" t="str">
        <x:v>ON DELETE</x:v>
      </x:c>
      <x:c r="G17" s="73" t="str">
        <x:v>Significado</x:v>
      </x:c>
    </x:row>
    <x:row r="18" ht="42" customHeight="1">
      <x:c r="A18" s="21" t="str">
        <x:v>servicioPublicadoImagenServicio</x:v>
      </x:c>
      <x:c r="B18" s="24" t="str">
        <x:v>ServicioPublicado</x:v>
      </x:c>
      <x:c r="C18" s="24" t="str">
        <x:v>ImagenServicioPublicado</x:v>
      </x:c>
      <x:c r="D18" s="24" t="str">
        <x:v>1 a 0..N</x:v>
      </x:c>
      <x:c r="E18" s="24" t="str">
        <x:v>ImagenServicioPublicado.idServicioPublicado</x:v>
      </x:c>
      <x:c r="F18" s="24" t="str">
        <x:v>CASCADE</x:v>
      </x:c>
      <x:c r="G18" s="21" t="str">
        <x:v>Un servicio puede mostrar varias imágenes.</x:v>
      </x:c>
    </x:row>
    <x:row r="20" ht="24" customHeight="1">
      <x:c r="A20" s="75" t="str">
        <x:v>Restricciones implementadas en la base de datos</x:v>
      </x:c>
      <x:c r="B20" s="75"/>
      <x:c r="C20" s="75"/>
      <x:c r="D20" s="75"/>
      <x:c r="E20" s="75"/>
      <x:c r="F20" s="75"/>
      <x:c r="G20" s="75"/>
      <x:c r="H20" s="75"/>
      <x:c r="I20" s="75"/>
      <x:c r="J20" s="75"/>
    </x:row>
    <x:row r="21" ht="30" customHeight="1">
      <x:c r="A21" s="73" t="str">
        <x:v>Tipo</x:v>
      </x:c>
      <x:c r="B21" s="73" t="str">
        <x:v>Nombre</x:v>
      </x:c>
      <x:c r="C21" s="73" t="str">
        <x:v>Columnas</x:v>
      </x:c>
      <x:c r="D21" s="73" t="str">
        <x:v>Regla</x:v>
      </x:c>
      <x:c r="E21" s="73" t="str">
        <x:v>Capa</x:v>
      </x:c>
    </x:row>
    <x:row r="22" ht="38" customHeight="1">
      <x:c r="A22" s="24" t="str">
        <x:v>PK</x:v>
      </x:c>
      <x:c r="B22" s="24" t="str">
        <x:v>pkImagenServicioPublicado</x:v>
      </x:c>
      <x:c r="C22" s="24" t="str">
        <x:v>idImagenServicioPublicado</x:v>
      </x:c>
      <x:c r="D22" s="21" t="str">
        <x:v>Identificador único de la imagen.</x:v>
      </x:c>
      <x:c r="E22" s="24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6:J16"/>
    <x:mergeCell ref="A20:J20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SolicitudServicio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Petición de un cliente para contratar un servicio publicado por un prestador.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81" t="str">
        <x:v>Bloque</x:v>
      </x:c>
      <x:c r="B4" s="35" t="str">
        <x:v>Contratación</x:v>
      </x:c>
      <x:c r="C4" s="36"/>
      <x:c r="D4" s="81" t="str">
        <x:v>Naturaleza</x:v>
      </x:c>
      <x:c r="E4" s="35" t="str">
        <x:v>Entidad transaccional</x:v>
      </x:c>
      <x:c r="F4" s="36"/>
      <x:c r="G4" s="81" t="str">
        <x:v>Clave primaria</x:v>
      </x:c>
      <x:c r="H4" s="40" t="str">
        <x:v>idSolicitudServicio</x:v>
      </x:c>
      <x:c r="I4" s="81" t="str">
        <x:v>Atributos</x:v>
      </x:c>
      <x:c r="J4" s="40" t="n">
        <x:f>COUNTA(A9:A18)</x:f>
        <x:v>10</x:v>
      </x:c>
    </x:row>
    <x:row r="5" ht="30" customHeight="1">
      <x:c r="A5" s="81" t="str">
        <x:v>Relaciones</x:v>
      </x:c>
      <x:c r="B5" s="40" t="n">
        <x:f>COUNTA(A22:A28)</x:f>
        <x:v>7</x:v>
      </x:c>
      <x:c r="D5" s="81" t="str">
        <x:v>Restricciones BD</x:v>
      </x:c>
      <x:c r="E5" s="40" t="n">
        <x:f>COUNTA(B32:B32)</x:f>
        <x:v>1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83" t="str">
        <x:v>Atributos</x:v>
      </x:c>
      <x:c r="B7" s="83"/>
      <x:c r="C7" s="83"/>
      <x:c r="D7" s="83"/>
      <x:c r="E7" s="83"/>
      <x:c r="F7" s="83"/>
      <x:c r="G7" s="83"/>
      <x:c r="H7" s="83"/>
      <x:c r="I7" s="83"/>
      <x:c r="J7" s="83"/>
    </x:row>
    <x:row r="8" ht="30" customHeight="1">
      <x:c r="A8" s="81" t="str">
        <x:v>Atributo</x:v>
      </x:c>
      <x:c r="B8" s="81" t="str">
        <x:v>Descripción</x:v>
      </x:c>
      <x:c r="C8" s="81" t="str">
        <x:v>Tipo PostgreSQL</x:v>
      </x:c>
      <x:c r="D8" s="81" t="str">
        <x:v>Clave</x:v>
      </x:c>
      <x:c r="E8" s="81" t="str">
        <x:v>Nulo</x:v>
      </x:c>
      <x:c r="F8" s="81" t="str">
        <x:v>Predeterminado</x:v>
      </x:c>
      <x:c r="G8" s="81" t="str">
        <x:v>Dominio o referencia</x:v>
      </x:c>
      <x:c r="H8" s="81" t="str">
        <x:v>Regla o validación</x:v>
      </x:c>
      <x:c r="I8" s="81" t="str">
        <x:v>Responsable</x:v>
      </x:c>
      <x:c r="J8" s="81" t="str">
        <x:v>Naturaleza</x:v>
      </x:c>
    </x:row>
    <x:row r="9" ht="46" customHeight="1">
      <x:c r="A9" s="21" t="str">
        <x:v>idSolicitudServicio</x:v>
      </x:c>
      <x:c r="B9" s="21" t="str">
        <x:v>Identificador técnico de la solicitud.</x:v>
      </x:c>
      <x:c r="C9" s="24" t="str">
        <x:v>bigint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idCliente</x:v>
      </x:c>
      <x:c r="B10" s="23" t="str">
        <x:v>Usuario que envía la solicitud.</x:v>
      </x:c>
      <x:c r="C10" s="25" t="str">
        <x:v>bigint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Usuario.idUsuario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idServicioPublicado</x:v>
      </x:c>
      <x:c r="B11" s="22" t="str">
        <x:v>Servicio que el cliente desea contratar.</x:v>
      </x:c>
      <x:c r="C11" s="26" t="str">
        <x:v>bigint</x:v>
      </x:c>
      <x:c r="D11" s="26" t="str">
        <x:v>FK</x:v>
      </x:c>
      <x:c r="E11" s="26" t="str">
        <x:v>NO</x:v>
      </x:c>
      <x:c r="F11" s="26" t="str">
        <x:v>—</x:v>
      </x:c>
      <x:c r="G11" s="26" t="str">
        <x:v>ServicioPublicado.idServicioPublicado</x:v>
      </x:c>
      <x:c r="H11" s="22" t="str">
        <x:v>—</x:v>
      </x:c>
      <x:c r="I11" s="26" t="str">
        <x:v>Base de datos</x:v>
      </x:c>
      <x:c r="J11" s="26" t="str">
        <x:v>Negocio</x:v>
      </x:c>
    </x:row>
    <x:row r="12" ht="46" customHeight="1">
      <x:c r="A12" s="23" t="str">
        <x:v>idMunicipio</x:v>
      </x:c>
      <x:c r="B12" s="23" t="str">
        <x:v>Municipio donde se requiere el servicio.</x:v>
      </x:c>
      <x:c r="C12" s="25" t="str">
        <x:v>integer</x:v>
      </x:c>
      <x:c r="D12" s="25" t="str">
        <x:v>FK</x:v>
      </x:c>
      <x:c r="E12" s="25" t="str">
        <x:v>NO</x:v>
      </x:c>
      <x:c r="F12" s="25" t="str">
        <x:v>—</x:v>
      </x:c>
      <x:c r="G12" s="25" t="str">
        <x:v>Municipio.idMunicipio</x:v>
      </x:c>
      <x:c r="H12" s="23" t="str">
        <x:v>—</x:v>
      </x:c>
      <x:c r="I12" s="25" t="str">
        <x:v>Base de datos</x:v>
      </x:c>
      <x:c r="J12" s="25" t="str">
        <x:v>Negocio</x:v>
      </x:c>
    </x:row>
    <x:row r="13" ht="46" customHeight="1">
      <x:c r="A13" s="22" t="str">
        <x:v>descripcionNecesidad</x:v>
      </x:c>
      <x:c r="B13" s="22" t="str">
        <x:v>Explicación de la necesidad concreta del cliente.</x:v>
      </x:c>
      <x:c r="C13" s="26" t="str">
        <x:v>text</x:v>
      </x:c>
      <x:c r="D13" s="26" t="str">
        <x:v>—</x:v>
      </x:c>
      <x:c r="E13" s="26" t="str">
        <x:v>NO</x:v>
      </x:c>
      <x:c r="F13" s="26" t="str">
        <x:v>—</x:v>
      </x:c>
      <x:c r="G13" s="26" t="str">
        <x:v>—</x:v>
      </x:c>
      <x:c r="H13" s="22" t="str">
        <x:v>—</x:v>
      </x:c>
      <x:c r="I13" s="26" t="str">
        <x:v>Base de datos</x:v>
      </x:c>
      <x:c r="J13" s="26" t="str">
        <x:v>Negocio</x:v>
      </x:c>
    </x:row>
    <x:row r="14" ht="46" customHeight="1">
      <x:c r="A14" s="23" t="str">
        <x:v>indicacionUbicacion</x:v>
      </x:c>
      <x:c r="B14" s="23" t="str">
        <x:v>Dirección, referencia o indicación textual del lugar del servicio.</x:v>
      </x:c>
      <x:c r="C14" s="25" t="str">
        <x:v>text</x:v>
      </x:c>
      <x:c r="D14" s="25" t="str">
        <x:v>—</x:v>
      </x:c>
      <x:c r="E14" s="25" t="str">
        <x:v>NO</x:v>
      </x:c>
      <x:c r="F14" s="25" t="str">
        <x:v>—</x:v>
      </x:c>
      <x:c r="G14" s="25" t="str">
        <x:v>—</x:v>
      </x:c>
      <x:c r="H14" s="23" t="str">
        <x:v>—</x:v>
      </x:c>
      <x:c r="I14" s="25" t="str">
        <x:v>Base de datos</x:v>
      </x:c>
      <x:c r="J14" s="25" t="str">
        <x:v>Negocio</x:v>
      </x:c>
    </x:row>
    <x:row r="15" ht="46" customHeight="1">
      <x:c r="A15" s="22" t="str">
        <x:v>fechaPreferida</x:v>
      </x:c>
      <x:c r="B15" s="22" t="str">
        <x:v>Fecha deseada para recibir el servicio, si el cliente tiene una preferencia.</x:v>
      </x:c>
      <x:c r="C15" s="26" t="str">
        <x:v>date</x:v>
      </x:c>
      <x:c r="D15" s="26" t="str">
        <x:v>—</x:v>
      </x:c>
      <x:c r="E15" s="26" t="str">
        <x:v>SÍ</x:v>
      </x:c>
      <x:c r="F15" s="26" t="str">
        <x:v>—</x:v>
      </x:c>
      <x:c r="G15" s="26" t="str">
        <x:v>—</x:v>
      </x:c>
      <x:c r="H15" s="22" t="str">
        <x:v>—</x:v>
      </x:c>
      <x:c r="I15" s="26" t="str">
        <x:v>—</x:v>
      </x:c>
      <x:c r="J15" s="26" t="str">
        <x:v>Negocio</x:v>
      </x:c>
    </x:row>
    <x:row r="16" ht="46" customHeight="1">
      <x:c r="A16" s="23" t="str">
        <x:v>estadoActual</x:v>
      </x:c>
      <x:c r="B16" s="23" t="str">
        <x:v>Estado vigente de la solicitud.</x:v>
      </x:c>
      <x:c r="C16" s="25" t="str">
        <x:v>EstadoSolicitud</x:v>
      </x:c>
      <x:c r="D16" s="25" t="str">
        <x:v>—</x:v>
      </x:c>
      <x:c r="E16" s="25" t="str">
        <x:v>NO</x:v>
      </x:c>
      <x:c r="F16" s="25" t="str">
        <x:v>PENDIENTE</x:v>
      </x:c>
      <x:c r="G16" s="25" t="str">
        <x:v>Dominio EstadoSolicitud</x:v>
      </x:c>
      <x:c r="H16" s="23" t="str">
        <x:v>Debe coincidir con el último CambioEstadoSolicitud.</x:v>
      </x:c>
      <x:c r="I16" s="25" t="str">
        <x:v>Aplicación</x:v>
      </x:c>
      <x:c r="J16" s="25" t="str">
        <x:v>Derivado operativo</x:v>
      </x:c>
    </x:row>
    <x:row r="17" ht="46" customHeight="1">
      <x:c r="A17" s="22" t="str">
        <x:v>fechaCreacion</x:v>
      </x:c>
      <x:c r="B17" s="22" t="str">
        <x:v>Instante en que se envió la solicitud.</x:v>
      </x:c>
      <x:c r="C17" s="26" t="str">
        <x:v>timestamptz</x:v>
      </x:c>
      <x:c r="D17" s="26" t="str">
        <x:v>—</x:v>
      </x:c>
      <x:c r="E17" s="26" t="str">
        <x:v>NO</x:v>
      </x:c>
      <x:c r="F17" s="26" t="str">
        <x:v>CURRENT_TIMESTAMP</x:v>
      </x:c>
      <x:c r="G17" s="26" t="str">
        <x:v>—</x:v>
      </x:c>
      <x:c r="H17" s="22" t="str">
        <x:v>—</x:v>
      </x:c>
      <x:c r="I17" s="26" t="str">
        <x:v>Base de datos</x:v>
      </x:c>
      <x:c r="J17" s="26" t="str">
        <x:v>Auditoría</x:v>
      </x:c>
    </x:row>
    <x:row r="18" ht="46" customHeight="1">
      <x:c r="A18" s="23" t="str">
        <x:v>fechaActualizacion</x:v>
      </x:c>
      <x:c r="B18" s="23" t="str">
        <x:v>Instante de la última modificación de la solicitud.</x:v>
      </x:c>
      <x:c r="C18" s="25" t="str">
        <x:v>timestamptz</x:v>
      </x:c>
      <x:c r="D18" s="25" t="str">
        <x:v>—</x:v>
      </x:c>
      <x:c r="E18" s="25" t="str">
        <x:v>NO</x:v>
      </x:c>
      <x:c r="F18" s="25" t="str">
        <x:v>CURRENT_TIMESTAMP</x:v>
      </x:c>
      <x:c r="G18" s="25" t="str">
        <x:v>—</x:v>
      </x:c>
      <x:c r="H18" s="23" t="str">
        <x:v>La aplicación actualiza este valor cada vez que modifica el registro.</x:v>
      </x:c>
      <x:c r="I18" s="25" t="str">
        <x:v>Aplicación</x:v>
      </x:c>
      <x:c r="J18" s="25" t="str">
        <x:v>Auditoría</x:v>
      </x:c>
    </x:row>
    <x:row r="20" ht="24" customHeight="1">
      <x:c r="A20" s="83" t="str">
        <x:v>Relaciones directas</x:v>
      </x:c>
      <x:c r="B20" s="83"/>
      <x:c r="C20" s="83"/>
      <x:c r="D20" s="83"/>
      <x:c r="E20" s="83"/>
      <x:c r="F20" s="83"/>
      <x:c r="G20" s="83"/>
      <x:c r="H20" s="83"/>
      <x:c r="I20" s="83"/>
      <x:c r="J20" s="83"/>
    </x:row>
    <x:row r="21" ht="30" customHeight="1">
      <x:c r="A21" s="81" t="str">
        <x:v>Relación</x:v>
      </x:c>
      <x:c r="B21" s="81" t="str">
        <x:v>Origen</x:v>
      </x:c>
      <x:c r="C21" s="81" t="str">
        <x:v>Destino</x:v>
      </x:c>
      <x:c r="D21" s="81" t="str">
        <x:v>Cardinalidad</x:v>
      </x:c>
      <x:c r="E21" s="81" t="str">
        <x:v>FK en destino</x:v>
      </x:c>
      <x:c r="F21" s="81" t="str">
        <x:v>ON DELETE</x:v>
      </x:c>
      <x:c r="G21" s="81" t="str">
        <x:v>Significado</x:v>
      </x:c>
    </x:row>
    <x:row r="22" ht="42" customHeight="1">
      <x:c r="A22" s="21" t="str">
        <x:v>municipioSolicitudServicio</x:v>
      </x:c>
      <x:c r="B22" s="24" t="str">
        <x:v>Municipio</x:v>
      </x:c>
      <x:c r="C22" s="24" t="str">
        <x:v>SolicitudServicio</x:v>
      </x:c>
      <x:c r="D22" s="24" t="str">
        <x:v>1 a 0..N</x:v>
      </x:c>
      <x:c r="E22" s="24" t="str">
        <x:v>SolicitudServicio.idMunicipio</x:v>
      </x:c>
      <x:c r="F22" s="24" t="str">
        <x:v>RESTRICT</x:v>
      </x:c>
      <x:c r="G22" s="21" t="str">
        <x:v>Cada solicitud indica el municipio donde se necesita el servicio.</x:v>
      </x:c>
    </x:row>
    <x:row r="23" ht="42" customHeight="1">
      <x:c r="A23" s="23" t="str">
        <x:v>usuarioSolicitudServicio</x:v>
      </x:c>
      <x:c r="B23" s="25" t="str">
        <x:v>Usuario</x:v>
      </x:c>
      <x:c r="C23" s="25" t="str">
        <x:v>SolicitudServicio</x:v>
      </x:c>
      <x:c r="D23" s="25" t="str">
        <x:v>1 a 0..N</x:v>
      </x:c>
      <x:c r="E23" s="25" t="str">
        <x:v>SolicitudServicio.idCliente</x:v>
      </x:c>
      <x:c r="F23" s="25" t="str">
        <x:v>RESTRICT</x:v>
      </x:c>
      <x:c r="G23" s="23" t="str">
        <x:v>Un usuario puede enviar varias solicitudes como cliente.</x:v>
      </x:c>
    </x:row>
    <x:row r="24" ht="42" customHeight="1">
      <x:c r="A24" s="22" t="str">
        <x:v>servicioPublicadoSolicitudServicio</x:v>
      </x:c>
      <x:c r="B24" s="26" t="str">
        <x:v>ServicioPublicado</x:v>
      </x:c>
      <x:c r="C24" s="26" t="str">
        <x:v>SolicitudServicio</x:v>
      </x:c>
      <x:c r="D24" s="26" t="str">
        <x:v>1 a 0..N</x:v>
      </x:c>
      <x:c r="E24" s="26" t="str">
        <x:v>SolicitudServicio.idServicioPublicado</x:v>
      </x:c>
      <x:c r="F24" s="26" t="str">
        <x:v>RESTRICT</x:v>
      </x:c>
      <x:c r="G24" s="22" t="str">
        <x:v>Un servicio puede recibir varias solicitudes.</x:v>
      </x:c>
    </x:row>
    <x:row r="25" ht="42" customHeight="1">
      <x:c r="A25" s="23" t="str">
        <x:v>solicitudServicioCambioEstado</x:v>
      </x:c>
      <x:c r="B25" s="25" t="str">
        <x:v>SolicitudServicio</x:v>
      </x:c>
      <x:c r="C25" s="25" t="str">
        <x:v>CambioEstadoSolicitud</x:v>
      </x:c>
      <x:c r="D25" s="25" t="str">
        <x:v>1 a 1..N</x:v>
      </x:c>
      <x:c r="E25" s="25" t="str">
        <x:v>CambioEstadoSolicitud.idSolicitudServicio</x:v>
      </x:c>
      <x:c r="F25" s="25" t="str">
        <x:v>RESTRICT</x:v>
      </x:c>
      <x:c r="G25" s="23" t="str">
        <x:v>Toda solicitud debe tener un registro inicial y puede acumular cambios.</x:v>
      </x:c>
    </x:row>
    <x:row r="26" ht="42" customHeight="1">
      <x:c r="A26" s="22" t="str">
        <x:v>solicitudServicioMensaje</x:v>
      </x:c>
      <x:c r="B26" s="26" t="str">
        <x:v>SolicitudServicio</x:v>
      </x:c>
      <x:c r="C26" s="26" t="str">
        <x:v>MensajeSolicitud</x:v>
      </x:c>
      <x:c r="D26" s="26" t="str">
        <x:v>1 a 0..N</x:v>
      </x:c>
      <x:c r="E26" s="26" t="str">
        <x:v>MensajeSolicitud.idSolicitudServicio</x:v>
      </x:c>
      <x:c r="F26" s="26" t="str">
        <x:v>RESTRICT</x:v>
      </x:c>
      <x:c r="G26" s="22" t="str">
        <x:v>La solicitud aceptada funciona como hilo de chat.</x:v>
      </x:c>
    </x:row>
    <x:row r="27" ht="42" customHeight="1">
      <x:c r="A27" s="23" t="str">
        <x:v>solicitudServicioCalificacion</x:v>
      </x:c>
      <x:c r="B27" s="25" t="str">
        <x:v>SolicitudServicio</x:v>
      </x:c>
      <x:c r="C27" s="25" t="str">
        <x:v>CalificacionUsuario</x:v>
      </x:c>
      <x:c r="D27" s="25" t="str">
        <x:v>1 a 0..2</x:v>
      </x:c>
      <x:c r="E27" s="25" t="str">
        <x:v>CalificacionUsuario.idSolicitudServicio</x:v>
      </x:c>
      <x:c r="F27" s="25" t="str">
        <x:v>RESTRICT</x:v>
      </x:c>
      <x:c r="G27" s="23" t="str">
        <x:v>Cada participante puede emitir una calificación al completar el servicio.</x:v>
      </x:c>
    </x:row>
    <x:row r="28" ht="42" customHeight="1">
      <x:c r="A28" s="22" t="str">
        <x:v>solicitudServicioReporte</x:v>
      </x:c>
      <x:c r="B28" s="26" t="str">
        <x:v>SolicitudServicio</x:v>
      </x:c>
      <x:c r="C28" s="26" t="str">
        <x:v>ReporteUsuario</x:v>
      </x:c>
      <x:c r="D28" s="26" t="str">
        <x:v>1 a 0..2</x:v>
      </x:c>
      <x:c r="E28" s="26" t="str">
        <x:v>ReporteUsuario.idSolicitudServicio</x:v>
      </x:c>
      <x:c r="F28" s="26" t="str">
        <x:v>RESTRICT</x:v>
      </x:c>
      <x:c r="G28" s="22" t="str">
        <x:v>Cada participante puede presentar un reporte relacionado con la solicitud.</x:v>
      </x:c>
    </x:row>
    <x:row r="30" ht="24" customHeight="1">
      <x:c r="A30" s="83" t="str">
        <x:v>Restricciones implementadas en la base de datos</x:v>
      </x:c>
      <x:c r="B30" s="83"/>
      <x:c r="C30" s="83"/>
      <x:c r="D30" s="83"/>
      <x:c r="E30" s="83"/>
      <x:c r="F30" s="83"/>
      <x:c r="G30" s="83"/>
      <x:c r="H30" s="83"/>
      <x:c r="I30" s="83"/>
      <x:c r="J30" s="83"/>
    </x:row>
    <x:row r="31" ht="30" customHeight="1">
      <x:c r="A31" s="81" t="str">
        <x:v>Tipo</x:v>
      </x:c>
      <x:c r="B31" s="81" t="str">
        <x:v>Nombre</x:v>
      </x:c>
      <x:c r="C31" s="81" t="str">
        <x:v>Columnas</x:v>
      </x:c>
      <x:c r="D31" s="81" t="str">
        <x:v>Regla</x:v>
      </x:c>
      <x:c r="E31" s="81" t="str">
        <x:v>Capa</x:v>
      </x:c>
    </x:row>
    <x:row r="32" ht="38" customHeight="1">
      <x:c r="A32" s="24" t="str">
        <x:v>PK</x:v>
      </x:c>
      <x:c r="B32" s="24" t="str">
        <x:v>pkSolicitudServicio</x:v>
      </x:c>
      <x:c r="C32" s="24" t="str">
        <x:v>idSolicitudServicio</x:v>
      </x:c>
      <x:c r="D32" s="21" t="str">
        <x:v>Identificador único de la solicitud.</x:v>
      </x:c>
      <x:c r="E32" s="24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20:J20"/>
    <x:mergeCell ref="A30:J3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CambioEstadoSolicitud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Registro de cada transición de estado de una solicitud; el conjunto de registros forma su historial.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81" t="str">
        <x:v>Bloque</x:v>
      </x:c>
      <x:c r="B4" s="35" t="str">
        <x:v>Contratación</x:v>
      </x:c>
      <x:c r="C4" s="36"/>
      <x:c r="D4" s="81" t="str">
        <x:v>Naturaleza</x:v>
      </x:c>
      <x:c r="E4" s="35" t="str">
        <x:v>Historial</x:v>
      </x:c>
      <x:c r="F4" s="36"/>
      <x:c r="G4" s="81" t="str">
        <x:v>Clave primaria</x:v>
      </x:c>
      <x:c r="H4" s="40" t="str">
        <x:v>idCambioEstadoSolicitud</x:v>
      </x:c>
      <x:c r="I4" s="81" t="str">
        <x:v>Atributos</x:v>
      </x:c>
      <x:c r="J4" s="40" t="n">
        <x:f>COUNTA(A9:A15)</x:f>
        <x:v>7</x:v>
      </x:c>
    </x:row>
    <x:row r="5" ht="30" customHeight="1">
      <x:c r="A5" s="81" t="str">
        <x:v>Relaciones</x:v>
      </x:c>
      <x:c r="B5" s="40" t="n">
        <x:f>COUNTA(A19:A20)</x:f>
        <x:v>2</x:v>
      </x:c>
      <x:c r="D5" s="81" t="str">
        <x:v>Restricciones BD</x:v>
      </x:c>
      <x:c r="E5" s="40" t="n">
        <x:f>COUNTA(B24:B24)</x:f>
        <x:v>1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83" t="str">
        <x:v>Atributos</x:v>
      </x:c>
      <x:c r="B7" s="83"/>
      <x:c r="C7" s="83"/>
      <x:c r="D7" s="83"/>
      <x:c r="E7" s="83"/>
      <x:c r="F7" s="83"/>
      <x:c r="G7" s="83"/>
      <x:c r="H7" s="83"/>
      <x:c r="I7" s="83"/>
      <x:c r="J7" s="83"/>
    </x:row>
    <x:row r="8" ht="30" customHeight="1">
      <x:c r="A8" s="81" t="str">
        <x:v>Atributo</x:v>
      </x:c>
      <x:c r="B8" s="81" t="str">
        <x:v>Descripción</x:v>
      </x:c>
      <x:c r="C8" s="81" t="str">
        <x:v>Tipo PostgreSQL</x:v>
      </x:c>
      <x:c r="D8" s="81" t="str">
        <x:v>Clave</x:v>
      </x:c>
      <x:c r="E8" s="81" t="str">
        <x:v>Nulo</x:v>
      </x:c>
      <x:c r="F8" s="81" t="str">
        <x:v>Predeterminado</x:v>
      </x:c>
      <x:c r="G8" s="81" t="str">
        <x:v>Dominio o referencia</x:v>
      </x:c>
      <x:c r="H8" s="81" t="str">
        <x:v>Regla o validación</x:v>
      </x:c>
      <x:c r="I8" s="81" t="str">
        <x:v>Responsable</x:v>
      </x:c>
      <x:c r="J8" s="81" t="str">
        <x:v>Naturaleza</x:v>
      </x:c>
    </x:row>
    <x:row r="9" ht="46" customHeight="1">
      <x:c r="A9" s="21" t="str">
        <x:v>idCambioEstadoSolicitud</x:v>
      </x:c>
      <x:c r="B9" s="21" t="str">
        <x:v>Identificador técnico del cambio de estado.</x:v>
      </x:c>
      <x:c r="C9" s="24" t="str">
        <x:v>bigint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idSolicitudServicio</x:v>
      </x:c>
      <x:c r="B10" s="23" t="str">
        <x:v>Solicitud a la que pertenece el cambio.</x:v>
      </x:c>
      <x:c r="C10" s="25" t="str">
        <x:v>bigint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SolicitudServicio.idSolicitudServicio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estadoAnterior</x:v>
      </x:c>
      <x:c r="B11" s="22" t="str">
        <x:v>Estado que tenía la solicitud antes de la transición.</x:v>
      </x:c>
      <x:c r="C11" s="26" t="str">
        <x:v>EstadoSolicitud</x:v>
      </x:c>
      <x:c r="D11" s="26" t="str">
        <x:v>—</x:v>
      </x:c>
      <x:c r="E11" s="26" t="str">
        <x:v>SÍ</x:v>
      </x:c>
      <x:c r="F11" s="26" t="str">
        <x:v>—</x:v>
      </x:c>
      <x:c r="G11" s="26" t="str">
        <x:v>Dominio EstadoSolicitud</x:v>
      </x:c>
      <x:c r="H11" s="22" t="str">
        <x:v>Solo es nulo en el registro inicial.</x:v>
      </x:c>
      <x:c r="I11" s="26" t="str">
        <x:v>Aplicación</x:v>
      </x:c>
      <x:c r="J11" s="26" t="str">
        <x:v>Histórico derivado</x:v>
      </x:c>
    </x:row>
    <x:row r="12" ht="46" customHeight="1">
      <x:c r="A12" s="23" t="str">
        <x:v>estadoNuevo</x:v>
      </x:c>
      <x:c r="B12" s="23" t="str">
        <x:v>Estado asignado mediante la transición.</x:v>
      </x:c>
      <x:c r="C12" s="25" t="str">
        <x:v>EstadoSolicitud</x:v>
      </x:c>
      <x:c r="D12" s="25" t="str">
        <x:v>—</x:v>
      </x:c>
      <x:c r="E12" s="25" t="str">
        <x:v>NO</x:v>
      </x:c>
      <x:c r="F12" s="25" t="str">
        <x:v>—</x:v>
      </x:c>
      <x:c r="G12" s="25" t="str">
        <x:v>Dominio EstadoSolicitud</x:v>
      </x:c>
      <x:c r="H12" s="23" t="str">
        <x:v>Debe ser diferente de estadoAnterior.</x:v>
      </x:c>
      <x:c r="I12" s="25" t="str">
        <x:v>Aplicación</x:v>
      </x:c>
      <x:c r="J12" s="25" t="str">
        <x:v>Negocio</x:v>
      </x:c>
    </x:row>
    <x:row r="13" ht="46" customHeight="1">
      <x:c r="A13" s="22" t="str">
        <x:v>idActor</x:v>
      </x:c>
      <x:c r="B13" s="22" t="str">
        <x:v>Usuario que ejecutó el cambio de estado.</x:v>
      </x:c>
      <x:c r="C13" s="26" t="str">
        <x:v>bigint</x:v>
      </x:c>
      <x:c r="D13" s="26" t="str">
        <x:v>FK</x:v>
      </x:c>
      <x:c r="E13" s="26" t="str">
        <x:v>NO</x:v>
      </x:c>
      <x:c r="F13" s="26" t="str">
        <x:v>—</x:v>
      </x:c>
      <x:c r="G13" s="26" t="str">
        <x:v>Usuario.idUsuario</x:v>
      </x:c>
      <x:c r="H13" s="22" t="str">
        <x:v>—</x:v>
      </x:c>
      <x:c r="I13" s="26" t="str">
        <x:v>Base de datos</x:v>
      </x:c>
      <x:c r="J13" s="26" t="str">
        <x:v>Negocio</x:v>
      </x:c>
    </x:row>
    <x:row r="14" ht="46" customHeight="1">
      <x:c r="A14" s="23" t="str">
        <x:v>motivo</x:v>
      </x:c>
      <x:c r="B14" s="23" t="str">
        <x:v>Justificación del cambio cuando la regla de negocio la requiera.</x:v>
      </x:c>
      <x:c r="C14" s="25" t="str">
        <x:v>text</x:v>
      </x:c>
      <x:c r="D14" s="25" t="str">
        <x:v>—</x:v>
      </x:c>
      <x:c r="E14" s="25" t="str">
        <x:v>SÍ</x:v>
      </x:c>
      <x:c r="F14" s="25" t="str">
        <x:v>—</x:v>
      </x:c>
      <x:c r="G14" s="25" t="str">
        <x:v>—</x:v>
      </x:c>
      <x:c r="H14" s="23" t="str">
        <x:v>Obligatorio al cancelar una solicitud previamente aceptada.</x:v>
      </x:c>
      <x:c r="I14" s="25" t="str">
        <x:v>Aplicación</x:v>
      </x:c>
      <x:c r="J14" s="25" t="str">
        <x:v>Negocio</x:v>
      </x:c>
    </x:row>
    <x:row r="15" ht="46" customHeight="1">
      <x:c r="A15" s="22" t="str">
        <x:v>fechaCambio</x:v>
      </x:c>
      <x:c r="B15" s="22" t="str">
        <x:v>Instante en que ocurrió la transición.</x:v>
      </x:c>
      <x:c r="C15" s="26" t="str">
        <x:v>timestamptz</x:v>
      </x:c>
      <x:c r="D15" s="26" t="str">
        <x:v>—</x:v>
      </x:c>
      <x:c r="E15" s="26" t="str">
        <x:v>NO</x:v>
      </x:c>
      <x:c r="F15" s="26" t="str">
        <x:v>CURRENT_TIMESTAMP</x:v>
      </x:c>
      <x:c r="G15" s="26" t="str">
        <x:v>—</x:v>
      </x:c>
      <x:c r="H15" s="22" t="str">
        <x:v>—</x:v>
      </x:c>
      <x:c r="I15" s="26" t="str">
        <x:v>Base de datos</x:v>
      </x:c>
      <x:c r="J15" s="26" t="str">
        <x:v>Auditoría</x:v>
      </x:c>
    </x:row>
    <x:row r="17" ht="24" customHeight="1">
      <x:c r="A17" s="83" t="str">
        <x:v>Relaciones directas</x:v>
      </x:c>
      <x:c r="B17" s="83"/>
      <x:c r="C17" s="83"/>
      <x:c r="D17" s="83"/>
      <x:c r="E17" s="83"/>
      <x:c r="F17" s="83"/>
      <x:c r="G17" s="83"/>
      <x:c r="H17" s="83"/>
      <x:c r="I17" s="83"/>
      <x:c r="J17" s="83"/>
    </x:row>
    <x:row r="18" ht="30" customHeight="1">
      <x:c r="A18" s="81" t="str">
        <x:v>Relación</x:v>
      </x:c>
      <x:c r="B18" s="81" t="str">
        <x:v>Origen</x:v>
      </x:c>
      <x:c r="C18" s="81" t="str">
        <x:v>Destino</x:v>
      </x:c>
      <x:c r="D18" s="81" t="str">
        <x:v>Cardinalidad</x:v>
      </x:c>
      <x:c r="E18" s="81" t="str">
        <x:v>FK en destino</x:v>
      </x:c>
      <x:c r="F18" s="81" t="str">
        <x:v>ON DELETE</x:v>
      </x:c>
      <x:c r="G18" s="81" t="str">
        <x:v>Significado</x:v>
      </x:c>
    </x:row>
    <x:row r="19" ht="42" customHeight="1">
      <x:c r="A19" s="21" t="str">
        <x:v>solicitudServicioCambioEstado</x:v>
      </x:c>
      <x:c r="B19" s="24" t="str">
        <x:v>SolicitudServicio</x:v>
      </x:c>
      <x:c r="C19" s="24" t="str">
        <x:v>CambioEstadoSolicitud</x:v>
      </x:c>
      <x:c r="D19" s="24" t="str">
        <x:v>1 a 1..N</x:v>
      </x:c>
      <x:c r="E19" s="24" t="str">
        <x:v>CambioEstadoSolicitud.idSolicitudServicio</x:v>
      </x:c>
      <x:c r="F19" s="24" t="str">
        <x:v>RESTRICT</x:v>
      </x:c>
      <x:c r="G19" s="21" t="str">
        <x:v>Toda solicitud debe tener un registro inicial y puede acumular cambios.</x:v>
      </x:c>
    </x:row>
    <x:row r="20" ht="42" customHeight="1">
      <x:c r="A20" s="23" t="str">
        <x:v>usuarioCambioEstadoSolicitud</x:v>
      </x:c>
      <x:c r="B20" s="25" t="str">
        <x:v>Usuario</x:v>
      </x:c>
      <x:c r="C20" s="25" t="str">
        <x:v>CambioEstadoSolicitud</x:v>
      </x:c>
      <x:c r="D20" s="25" t="str">
        <x:v>1 a 0..N</x:v>
      </x:c>
      <x:c r="E20" s="25" t="str">
        <x:v>CambioEstadoSolicitud.idActor</x:v>
      </x:c>
      <x:c r="F20" s="25" t="str">
        <x:v>RESTRICT</x:v>
      </x:c>
      <x:c r="G20" s="23" t="str">
        <x:v>Cada cambio identifica al usuario que lo ejecutó.</x:v>
      </x:c>
    </x:row>
    <x:row r="22" ht="24" customHeight="1">
      <x:c r="A22" s="83" t="str">
        <x:v>Restricciones implementadas en la base de datos</x:v>
      </x:c>
      <x:c r="B22" s="83"/>
      <x:c r="C22" s="83"/>
      <x:c r="D22" s="83"/>
      <x:c r="E22" s="83"/>
      <x:c r="F22" s="83"/>
      <x:c r="G22" s="83"/>
      <x:c r="H22" s="83"/>
      <x:c r="I22" s="83"/>
      <x:c r="J22" s="83"/>
    </x:row>
    <x:row r="23" ht="30" customHeight="1">
      <x:c r="A23" s="81" t="str">
        <x:v>Tipo</x:v>
      </x:c>
      <x:c r="B23" s="81" t="str">
        <x:v>Nombre</x:v>
      </x:c>
      <x:c r="C23" s="81" t="str">
        <x:v>Columnas</x:v>
      </x:c>
      <x:c r="D23" s="81" t="str">
        <x:v>Regla</x:v>
      </x:c>
      <x:c r="E23" s="81" t="str">
        <x:v>Capa</x:v>
      </x:c>
    </x:row>
    <x:row r="24" ht="38" customHeight="1">
      <x:c r="A24" s="24" t="str">
        <x:v>PK</x:v>
      </x:c>
      <x:c r="B24" s="24" t="str">
        <x:v>pkCambioEstadoSolicitud</x:v>
      </x:c>
      <x:c r="C24" s="24" t="str">
        <x:v>idCambioEstadoSolicitud</x:v>
      </x:c>
      <x:c r="D24" s="21" t="str">
        <x:v>Identificador único del cambio.</x:v>
      </x:c>
      <x:c r="E24" s="24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7:J17"/>
    <x:mergeCell ref="A22:J2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MensajeSolicitud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Mensaje de texto enviado por uno de los participantes dentro de una solicitud aceptada.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81" t="str">
        <x:v>Bloque</x:v>
      </x:c>
      <x:c r="B4" s="35" t="str">
        <x:v>Contratación</x:v>
      </x:c>
      <x:c r="C4" s="36"/>
      <x:c r="D4" s="81" t="str">
        <x:v>Naturaleza</x:v>
      </x:c>
      <x:c r="E4" s="35" t="str">
        <x:v>Entidad transaccional</x:v>
      </x:c>
      <x:c r="F4" s="36"/>
      <x:c r="G4" s="81" t="str">
        <x:v>Clave primaria</x:v>
      </x:c>
      <x:c r="H4" s="40" t="str">
        <x:v>idMensajeSolicitud</x:v>
      </x:c>
      <x:c r="I4" s="81" t="str">
        <x:v>Atributos</x:v>
      </x:c>
      <x:c r="J4" s="40" t="n">
        <x:f>COUNTA(A9:A13)</x:f>
        <x:v>5</x:v>
      </x:c>
    </x:row>
    <x:row r="5" ht="30" customHeight="1">
      <x:c r="A5" s="81" t="str">
        <x:v>Relaciones</x:v>
      </x:c>
      <x:c r="B5" s="40" t="n">
        <x:f>COUNTA(A17:A18)</x:f>
        <x:v>2</x:v>
      </x:c>
      <x:c r="D5" s="81" t="str">
        <x:v>Restricciones BD</x:v>
      </x:c>
      <x:c r="E5" s="40" t="n">
        <x:f>COUNTA(B22:B22)</x:f>
        <x:v>1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83" t="str">
        <x:v>Atributos</x:v>
      </x:c>
      <x:c r="B7" s="83"/>
      <x:c r="C7" s="83"/>
      <x:c r="D7" s="83"/>
      <x:c r="E7" s="83"/>
      <x:c r="F7" s="83"/>
      <x:c r="G7" s="83"/>
      <x:c r="H7" s="83"/>
      <x:c r="I7" s="83"/>
      <x:c r="J7" s="83"/>
    </x:row>
    <x:row r="8" ht="30" customHeight="1">
      <x:c r="A8" s="81" t="str">
        <x:v>Atributo</x:v>
      </x:c>
      <x:c r="B8" s="81" t="str">
        <x:v>Descripción</x:v>
      </x:c>
      <x:c r="C8" s="81" t="str">
        <x:v>Tipo PostgreSQL</x:v>
      </x:c>
      <x:c r="D8" s="81" t="str">
        <x:v>Clave</x:v>
      </x:c>
      <x:c r="E8" s="81" t="str">
        <x:v>Nulo</x:v>
      </x:c>
      <x:c r="F8" s="81" t="str">
        <x:v>Predeterminado</x:v>
      </x:c>
      <x:c r="G8" s="81" t="str">
        <x:v>Dominio o referencia</x:v>
      </x:c>
      <x:c r="H8" s="81" t="str">
        <x:v>Regla o validación</x:v>
      </x:c>
      <x:c r="I8" s="81" t="str">
        <x:v>Responsable</x:v>
      </x:c>
      <x:c r="J8" s="81" t="str">
        <x:v>Naturaleza</x:v>
      </x:c>
    </x:row>
    <x:row r="9" ht="46" customHeight="1">
      <x:c r="A9" s="21" t="str">
        <x:v>idMensajeSolicitud</x:v>
      </x:c>
      <x:c r="B9" s="21" t="str">
        <x:v>Identificador técnico del mensaje.</x:v>
      </x:c>
      <x:c r="C9" s="24" t="str">
        <x:v>bigint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idSolicitudServicio</x:v>
      </x:c>
      <x:c r="B10" s="23" t="str">
        <x:v>Solicitud que funciona como hilo de conversación.</x:v>
      </x:c>
      <x:c r="C10" s="25" t="str">
        <x:v>bigint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SolicitudServicio.idSolicitudServicio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idRemitente</x:v>
      </x:c>
      <x:c r="B11" s="22" t="str">
        <x:v>Usuario que envió el mensaje.</x:v>
      </x:c>
      <x:c r="C11" s="26" t="str">
        <x:v>bigint</x:v>
      </x:c>
      <x:c r="D11" s="26" t="str">
        <x:v>FK</x:v>
      </x:c>
      <x:c r="E11" s="26" t="str">
        <x:v>NO</x:v>
      </x:c>
      <x:c r="F11" s="26" t="str">
        <x:v>—</x:v>
      </x:c>
      <x:c r="G11" s="26" t="str">
        <x:v>Usuario.idUsuario</x:v>
      </x:c>
      <x:c r="H11" s="22" t="str">
        <x:v>—</x:v>
      </x:c>
      <x:c r="I11" s="26" t="str">
        <x:v>Base de datos</x:v>
      </x:c>
      <x:c r="J11" s="26" t="str">
        <x:v>Negocio</x:v>
      </x:c>
    </x:row>
    <x:row r="12" ht="46" customHeight="1">
      <x:c r="A12" s="23" t="str">
        <x:v>contenido</x:v>
      </x:c>
      <x:c r="B12" s="23" t="str">
        <x:v>Texto del mensaje.</x:v>
      </x:c>
      <x:c r="C12" s="25" t="str">
        <x:v>text</x:v>
      </x:c>
      <x:c r="D12" s="25" t="str">
        <x:v>—</x:v>
      </x:c>
      <x:c r="E12" s="25" t="str">
        <x:v>NO</x:v>
      </x:c>
      <x:c r="F12" s="25" t="str">
        <x:v>—</x:v>
      </x:c>
      <x:c r="G12" s="25" t="str">
        <x:v>—</x:v>
      </x:c>
      <x:c r="H12" s="23" t="str">
        <x:v>—</x:v>
      </x:c>
      <x:c r="I12" s="25" t="str">
        <x:v>Base de datos</x:v>
      </x:c>
      <x:c r="J12" s="25" t="str">
        <x:v>Negocio</x:v>
      </x:c>
    </x:row>
    <x:row r="13" ht="46" customHeight="1">
      <x:c r="A13" s="22" t="str">
        <x:v>fechaEnvio</x:v>
      </x:c>
      <x:c r="B13" s="22" t="str">
        <x:v>Instante en que se envió el mensaje.</x:v>
      </x:c>
      <x:c r="C13" s="26" t="str">
        <x:v>timestamptz</x:v>
      </x:c>
      <x:c r="D13" s="26" t="str">
        <x:v>—</x:v>
      </x:c>
      <x:c r="E13" s="26" t="str">
        <x:v>NO</x:v>
      </x:c>
      <x:c r="F13" s="26" t="str">
        <x:v>CURRENT_TIMESTAMP</x:v>
      </x:c>
      <x:c r="G13" s="26" t="str">
        <x:v>—</x:v>
      </x:c>
      <x:c r="H13" s="22" t="str">
        <x:v>—</x:v>
      </x:c>
      <x:c r="I13" s="26" t="str">
        <x:v>Base de datos</x:v>
      </x:c>
      <x:c r="J13" s="26" t="str">
        <x:v>Auditoría</x:v>
      </x:c>
    </x:row>
    <x:row r="15" ht="24" customHeight="1">
      <x:c r="A15" s="83" t="str">
        <x:v>Relaciones directas</x:v>
      </x:c>
      <x:c r="B15" s="83"/>
      <x:c r="C15" s="83"/>
      <x:c r="D15" s="83"/>
      <x:c r="E15" s="83"/>
      <x:c r="F15" s="83"/>
      <x:c r="G15" s="83"/>
      <x:c r="H15" s="83"/>
      <x:c r="I15" s="83"/>
      <x:c r="J15" s="83"/>
    </x:row>
    <x:row r="16" ht="30" customHeight="1">
      <x:c r="A16" s="81" t="str">
        <x:v>Relación</x:v>
      </x:c>
      <x:c r="B16" s="81" t="str">
        <x:v>Origen</x:v>
      </x:c>
      <x:c r="C16" s="81" t="str">
        <x:v>Destino</x:v>
      </x:c>
      <x:c r="D16" s="81" t="str">
        <x:v>Cardinalidad</x:v>
      </x:c>
      <x:c r="E16" s="81" t="str">
        <x:v>FK en destino</x:v>
      </x:c>
      <x:c r="F16" s="81" t="str">
        <x:v>ON DELETE</x:v>
      </x:c>
      <x:c r="G16" s="81" t="str">
        <x:v>Significado</x:v>
      </x:c>
    </x:row>
    <x:row r="17" ht="42" customHeight="1">
      <x:c r="A17" s="21" t="str">
        <x:v>solicitudServicioMensaje</x:v>
      </x:c>
      <x:c r="B17" s="24" t="str">
        <x:v>SolicitudServicio</x:v>
      </x:c>
      <x:c r="C17" s="24" t="str">
        <x:v>MensajeSolicitud</x:v>
      </x:c>
      <x:c r="D17" s="24" t="str">
        <x:v>1 a 0..N</x:v>
      </x:c>
      <x:c r="E17" s="24" t="str">
        <x:v>MensajeSolicitud.idSolicitudServicio</x:v>
      </x:c>
      <x:c r="F17" s="24" t="str">
        <x:v>RESTRICT</x:v>
      </x:c>
      <x:c r="G17" s="21" t="str">
        <x:v>La solicitud aceptada funciona como hilo de chat.</x:v>
      </x:c>
    </x:row>
    <x:row r="18" ht="42" customHeight="1">
      <x:c r="A18" s="23" t="str">
        <x:v>usuarioMensajeSolicitud</x:v>
      </x:c>
      <x:c r="B18" s="25" t="str">
        <x:v>Usuario</x:v>
      </x:c>
      <x:c r="C18" s="25" t="str">
        <x:v>MensajeSolicitud</x:v>
      </x:c>
      <x:c r="D18" s="25" t="str">
        <x:v>1 a 0..N</x:v>
      </x:c>
      <x:c r="E18" s="25" t="str">
        <x:v>MensajeSolicitud.idRemitente</x:v>
      </x:c>
      <x:c r="F18" s="25" t="str">
        <x:v>RESTRICT</x:v>
      </x:c>
      <x:c r="G18" s="23" t="str">
        <x:v>Cada mensaje tiene un remitente.</x:v>
      </x:c>
    </x:row>
    <x:row r="20" ht="24" customHeight="1">
      <x:c r="A20" s="83" t="str">
        <x:v>Restricciones implementadas en la base de datos</x:v>
      </x:c>
      <x:c r="B20" s="83"/>
      <x:c r="C20" s="83"/>
      <x:c r="D20" s="83"/>
      <x:c r="E20" s="83"/>
      <x:c r="F20" s="83"/>
      <x:c r="G20" s="83"/>
      <x:c r="H20" s="83"/>
      <x:c r="I20" s="83"/>
      <x:c r="J20" s="83"/>
    </x:row>
    <x:row r="21" ht="30" customHeight="1">
      <x:c r="A21" s="81" t="str">
        <x:v>Tipo</x:v>
      </x:c>
      <x:c r="B21" s="81" t="str">
        <x:v>Nombre</x:v>
      </x:c>
      <x:c r="C21" s="81" t="str">
        <x:v>Columnas</x:v>
      </x:c>
      <x:c r="D21" s="81" t="str">
        <x:v>Regla</x:v>
      </x:c>
      <x:c r="E21" s="81" t="str">
        <x:v>Capa</x:v>
      </x:c>
    </x:row>
    <x:row r="22" ht="38" customHeight="1">
      <x:c r="A22" s="24" t="str">
        <x:v>PK</x:v>
      </x:c>
      <x:c r="B22" s="24" t="str">
        <x:v>pkMensajeSolicitud</x:v>
      </x:c>
      <x:c r="C22" s="24" t="str">
        <x:v>idMensajeSolicitud</x:v>
      </x:c>
      <x:c r="D22" s="21" t="str">
        <x:v>Identificador único del mensaje.</x:v>
      </x:c>
      <x:c r="E22" s="24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5:J15"/>
    <x:mergeCell ref="A20:J20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CalificacionUsuario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Valoración que un participante realiza sobre el otro después de completar una solicitud.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89" t="str">
        <x:v>Bloque</x:v>
      </x:c>
      <x:c r="B4" s="35" t="str">
        <x:v>Confianza y moderación</x:v>
      </x:c>
      <x:c r="C4" s="36"/>
      <x:c r="D4" s="89" t="str">
        <x:v>Naturaleza</x:v>
      </x:c>
      <x:c r="E4" s="35" t="str">
        <x:v>Entidad transaccional</x:v>
      </x:c>
      <x:c r="F4" s="36"/>
      <x:c r="G4" s="89" t="str">
        <x:v>Clave primaria</x:v>
      </x:c>
      <x:c r="H4" s="40" t="str">
        <x:v>idCalificacionUsuario</x:v>
      </x:c>
      <x:c r="I4" s="89" t="str">
        <x:v>Atributos</x:v>
      </x:c>
      <x:c r="J4" s="40" t="n">
        <x:f>COUNTA(A9:A16)</x:f>
        <x:v>8</x:v>
      </x:c>
    </x:row>
    <x:row r="5" ht="30" customHeight="1">
      <x:c r="A5" s="89" t="str">
        <x:v>Relaciones</x:v>
      </x:c>
      <x:c r="B5" s="40" t="n">
        <x:f>COUNTA(A20:A22)</x:f>
        <x:v>3</x:v>
      </x:c>
      <x:c r="D5" s="89" t="str">
        <x:v>Restricciones BD</x:v>
      </x:c>
      <x:c r="E5" s="40" t="n">
        <x:f>COUNTA(B26:B29)</x:f>
        <x:v>4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91" t="str">
        <x:v>Atributos</x:v>
      </x:c>
      <x:c r="B7" s="91"/>
      <x:c r="C7" s="91"/>
      <x:c r="D7" s="91"/>
      <x:c r="E7" s="91"/>
      <x:c r="F7" s="91"/>
      <x:c r="G7" s="91"/>
      <x:c r="H7" s="91"/>
      <x:c r="I7" s="91"/>
      <x:c r="J7" s="91"/>
    </x:row>
    <x:row r="8" ht="30" customHeight="1">
      <x:c r="A8" s="89" t="str">
        <x:v>Atributo</x:v>
      </x:c>
      <x:c r="B8" s="89" t="str">
        <x:v>Descripción</x:v>
      </x:c>
      <x:c r="C8" s="89" t="str">
        <x:v>Tipo PostgreSQL</x:v>
      </x:c>
      <x:c r="D8" s="89" t="str">
        <x:v>Clave</x:v>
      </x:c>
      <x:c r="E8" s="89" t="str">
        <x:v>Nulo</x:v>
      </x:c>
      <x:c r="F8" s="89" t="str">
        <x:v>Predeterminado</x:v>
      </x:c>
      <x:c r="G8" s="89" t="str">
        <x:v>Dominio o referencia</x:v>
      </x:c>
      <x:c r="H8" s="89" t="str">
        <x:v>Regla o validación</x:v>
      </x:c>
      <x:c r="I8" s="89" t="str">
        <x:v>Responsable</x:v>
      </x:c>
      <x:c r="J8" s="89" t="str">
        <x:v>Naturaleza</x:v>
      </x:c>
    </x:row>
    <x:row r="9" ht="46" customHeight="1">
      <x:c r="A9" s="21" t="str">
        <x:v>idCalificacionUsuario</x:v>
      </x:c>
      <x:c r="B9" s="21" t="str">
        <x:v>Identificador técnico de la calificación.</x:v>
      </x:c>
      <x:c r="C9" s="24" t="str">
        <x:v>bigint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idSolicitudServicio</x:v>
      </x:c>
      <x:c r="B10" s="23" t="str">
        <x:v>Solicitud completada que origina la calificación.</x:v>
      </x:c>
      <x:c r="C10" s="25" t="str">
        <x:v>bigint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SolicitudServicio.idSolicitudServicio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idCalificador</x:v>
      </x:c>
      <x:c r="B11" s="22" t="str">
        <x:v>Usuario que emite la calificación.</x:v>
      </x:c>
      <x:c r="C11" s="26" t="str">
        <x:v>bigint</x:v>
      </x:c>
      <x:c r="D11" s="26" t="str">
        <x:v>FK</x:v>
      </x:c>
      <x:c r="E11" s="26" t="str">
        <x:v>NO</x:v>
      </x:c>
      <x:c r="F11" s="26" t="str">
        <x:v>—</x:v>
      </x:c>
      <x:c r="G11" s="26" t="str">
        <x:v>Usuario.idUsuario</x:v>
      </x:c>
      <x:c r="H11" s="22" t="str">
        <x:v>—</x:v>
      </x:c>
      <x:c r="I11" s="26" t="str">
        <x:v>Base de datos</x:v>
      </x:c>
      <x:c r="J11" s="26" t="str">
        <x:v>Negocio</x:v>
      </x:c>
    </x:row>
    <x:row r="12" ht="46" customHeight="1">
      <x:c r="A12" s="23" t="str">
        <x:v>idCalificado</x:v>
      </x:c>
      <x:c r="B12" s="23" t="str">
        <x:v>Usuario que recibe la calificación.</x:v>
      </x:c>
      <x:c r="C12" s="25" t="str">
        <x:v>bigint</x:v>
      </x:c>
      <x:c r="D12" s="25" t="str">
        <x:v>FK</x:v>
      </x:c>
      <x:c r="E12" s="25" t="str">
        <x:v>NO</x:v>
      </x:c>
      <x:c r="F12" s="25" t="str">
        <x:v>—</x:v>
      </x:c>
      <x:c r="G12" s="25" t="str">
        <x:v>Usuario.idUsuario</x:v>
      </x:c>
      <x:c r="H12" s="23" t="str">
        <x:v>Debe ser diferente de idCalificador.</x:v>
      </x:c>
      <x:c r="I12" s="25" t="str">
        <x:v>Aplicación</x:v>
      </x:c>
      <x:c r="J12" s="25" t="str">
        <x:v>Negocio</x:v>
      </x:c>
    </x:row>
    <x:row r="13" ht="46" customHeight="1">
      <x:c r="A13" s="22" t="str">
        <x:v>rolCalificado</x:v>
      </x:c>
      <x:c r="B13" s="22" t="str">
        <x:v>Rol que desempeñó el usuario calificado en la solicitud.</x:v>
      </x:c>
      <x:c r="C13" s="26" t="str">
        <x:v>RolCalificado</x:v>
      </x:c>
      <x:c r="D13" s="26" t="str">
        <x:v>—</x:v>
      </x:c>
      <x:c r="E13" s="26" t="str">
        <x:v>NO</x:v>
      </x:c>
      <x:c r="F13" s="26" t="str">
        <x:v>—</x:v>
      </x:c>
      <x:c r="G13" s="26" t="str">
        <x:v>Dominio RolCalificado</x:v>
      </x:c>
      <x:c r="H13" s="22" t="str">
        <x:v>La aplicación registra el rol que desempeñó el usuario calificado dentro de la solicitud.</x:v>
      </x:c>
      <x:c r="I13" s="26" t="str">
        <x:v>Aplicación</x:v>
      </x:c>
      <x:c r="J13" s="26" t="str">
        <x:v>Negocio</x:v>
      </x:c>
    </x:row>
    <x:row r="14" ht="46" customHeight="1">
      <x:c r="A14" s="23" t="str">
        <x:v>puntuacion</x:v>
      </x:c>
      <x:c r="B14" s="23" t="str">
        <x:v>Cantidad de estrellas otorgadas.</x:v>
      </x:c>
      <x:c r="C14" s="25" t="str">
        <x:v>smallint</x:v>
      </x:c>
      <x:c r="D14" s="25" t="str">
        <x:v>—</x:v>
      </x:c>
      <x:c r="E14" s="25" t="str">
        <x:v>NO</x:v>
      </x:c>
      <x:c r="F14" s="25" t="str">
        <x:v>—</x:v>
      </x:c>
      <x:c r="G14" s="25" t="str">
        <x:v>—</x:v>
      </x:c>
      <x:c r="H14" s="23" t="str">
        <x:v>Valor entre 1 y 5.</x:v>
      </x:c>
      <x:c r="I14" s="25" t="str">
        <x:v>BD + aplicación</x:v>
      </x:c>
      <x:c r="J14" s="25" t="str">
        <x:v>Negocio</x:v>
      </x:c>
    </x:row>
    <x:row r="15" ht="46" customHeight="1">
      <x:c r="A15" s="22" t="str">
        <x:v>comentario</x:v>
      </x:c>
      <x:c r="B15" s="22" t="str">
        <x:v>Comentario opcional que acompaña la puntuación.</x:v>
      </x:c>
      <x:c r="C15" s="26" t="str">
        <x:v>text</x:v>
      </x:c>
      <x:c r="D15" s="26" t="str">
        <x:v>—</x:v>
      </x:c>
      <x:c r="E15" s="26" t="str">
        <x:v>SÍ</x:v>
      </x:c>
      <x:c r="F15" s="26" t="str">
        <x:v>—</x:v>
      </x:c>
      <x:c r="G15" s="26" t="str">
        <x:v>—</x:v>
      </x:c>
      <x:c r="H15" s="22" t="str">
        <x:v>—</x:v>
      </x:c>
      <x:c r="I15" s="26" t="str">
        <x:v>—</x:v>
      </x:c>
      <x:c r="J15" s="26" t="str">
        <x:v>Negocio</x:v>
      </x:c>
    </x:row>
    <x:row r="16" ht="46" customHeight="1">
      <x:c r="A16" s="23" t="str">
        <x:v>fechaCreacion</x:v>
      </x:c>
      <x:c r="B16" s="23" t="str">
        <x:v>Instante en que se registró la calificación.</x:v>
      </x:c>
      <x:c r="C16" s="25" t="str">
        <x:v>timestamptz</x:v>
      </x:c>
      <x:c r="D16" s="25" t="str">
        <x:v>—</x:v>
      </x:c>
      <x:c r="E16" s="25" t="str">
        <x:v>NO</x:v>
      </x:c>
      <x:c r="F16" s="25" t="str">
        <x:v>CURRENT_TIMESTAMP</x:v>
      </x:c>
      <x:c r="G16" s="25" t="str">
        <x:v>—</x:v>
      </x:c>
      <x:c r="H16" s="23" t="str">
        <x:v>—</x:v>
      </x:c>
      <x:c r="I16" s="25" t="str">
        <x:v>Base de datos</x:v>
      </x:c>
      <x:c r="J16" s="25" t="str">
        <x:v>Auditoría</x:v>
      </x:c>
    </x:row>
    <x:row r="18" ht="24" customHeight="1">
      <x:c r="A18" s="91" t="str">
        <x:v>Relaciones directas</x:v>
      </x:c>
      <x:c r="B18" s="91"/>
      <x:c r="C18" s="91"/>
      <x:c r="D18" s="91"/>
      <x:c r="E18" s="91"/>
      <x:c r="F18" s="91"/>
      <x:c r="G18" s="91"/>
      <x:c r="H18" s="91"/>
      <x:c r="I18" s="91"/>
      <x:c r="J18" s="91"/>
    </x:row>
    <x:row r="19" ht="30" customHeight="1">
      <x:c r="A19" s="89" t="str">
        <x:v>Relación</x:v>
      </x:c>
      <x:c r="B19" s="89" t="str">
        <x:v>Origen</x:v>
      </x:c>
      <x:c r="C19" s="89" t="str">
        <x:v>Destino</x:v>
      </x:c>
      <x:c r="D19" s="89" t="str">
        <x:v>Cardinalidad</x:v>
      </x:c>
      <x:c r="E19" s="89" t="str">
        <x:v>FK en destino</x:v>
      </x:c>
      <x:c r="F19" s="89" t="str">
        <x:v>ON DELETE</x:v>
      </x:c>
      <x:c r="G19" s="89" t="str">
        <x:v>Significado</x:v>
      </x:c>
    </x:row>
    <x:row r="20" ht="42" customHeight="1">
      <x:c r="A20" s="21" t="str">
        <x:v>solicitudServicioCalificacion</x:v>
      </x:c>
      <x:c r="B20" s="24" t="str">
        <x:v>SolicitudServicio</x:v>
      </x:c>
      <x:c r="C20" s="24" t="str">
        <x:v>CalificacionUsuario</x:v>
      </x:c>
      <x:c r="D20" s="24" t="str">
        <x:v>1 a 0..2</x:v>
      </x:c>
      <x:c r="E20" s="24" t="str">
        <x:v>CalificacionUsuario.idSolicitudServicio</x:v>
      </x:c>
      <x:c r="F20" s="24" t="str">
        <x:v>RESTRICT</x:v>
      </x:c>
      <x:c r="G20" s="21" t="str">
        <x:v>Cada participante puede emitir una calificación al completar el servicio.</x:v>
      </x:c>
    </x:row>
    <x:row r="21" ht="42" customHeight="1">
      <x:c r="A21" s="23" t="str">
        <x:v>usuarioCalificacionEmitida</x:v>
      </x:c>
      <x:c r="B21" s="25" t="str">
        <x:v>Usuario</x:v>
      </x:c>
      <x:c r="C21" s="25" t="str">
        <x:v>CalificacionUsuario</x:v>
      </x:c>
      <x:c r="D21" s="25" t="str">
        <x:v>1 a 0..N</x:v>
      </x:c>
      <x:c r="E21" s="25" t="str">
        <x:v>CalificacionUsuario.idCalificador</x:v>
      </x:c>
      <x:c r="F21" s="25" t="str">
        <x:v>RESTRICT</x:v>
      </x:c>
      <x:c r="G21" s="23" t="str">
        <x:v>Un usuario puede emitir varias calificaciones.</x:v>
      </x:c>
    </x:row>
    <x:row r="22" ht="42" customHeight="1">
      <x:c r="A22" s="22" t="str">
        <x:v>usuarioCalificacionRecibida</x:v>
      </x:c>
      <x:c r="B22" s="26" t="str">
        <x:v>Usuario</x:v>
      </x:c>
      <x:c r="C22" s="26" t="str">
        <x:v>CalificacionUsuario</x:v>
      </x:c>
      <x:c r="D22" s="26" t="str">
        <x:v>1 a 0..N</x:v>
      </x:c>
      <x:c r="E22" s="26" t="str">
        <x:v>CalificacionUsuario.idCalificado</x:v>
      </x:c>
      <x:c r="F22" s="26" t="str">
        <x:v>RESTRICT</x:v>
      </x:c>
      <x:c r="G22" s="22" t="str">
        <x:v>Un usuario puede recibir varias calificaciones.</x:v>
      </x:c>
    </x:row>
    <x:row r="24" ht="24" customHeight="1">
      <x:c r="A24" s="91" t="str">
        <x:v>Restricciones implementadas en la base de datos</x:v>
      </x:c>
      <x:c r="B24" s="91"/>
      <x:c r="C24" s="91"/>
      <x:c r="D24" s="91"/>
      <x:c r="E24" s="91"/>
      <x:c r="F24" s="91"/>
      <x:c r="G24" s="91"/>
      <x:c r="H24" s="91"/>
      <x:c r="I24" s="91"/>
      <x:c r="J24" s="91"/>
    </x:row>
    <x:row r="25" ht="30" customHeight="1">
      <x:c r="A25" s="89" t="str">
        <x:v>Tipo</x:v>
      </x:c>
      <x:c r="B25" s="89" t="str">
        <x:v>Nombre</x:v>
      </x:c>
      <x:c r="C25" s="89" t="str">
        <x:v>Columnas</x:v>
      </x:c>
      <x:c r="D25" s="89" t="str">
        <x:v>Regla</x:v>
      </x:c>
      <x:c r="E25" s="89" t="str">
        <x:v>Capa</x:v>
      </x:c>
    </x:row>
    <x:row r="26" ht="38" customHeight="1">
      <x:c r="A26" s="24" t="str">
        <x:v>PK</x:v>
      </x:c>
      <x:c r="B26" s="24" t="str">
        <x:v>pkCalificacionUsuario</x:v>
      </x:c>
      <x:c r="C26" s="24" t="str">
        <x:v>idCalificacionUsuario</x:v>
      </x:c>
      <x:c r="D26" s="21" t="str">
        <x:v>Identificador único de la calificación.</x:v>
      </x:c>
      <x:c r="E26" s="24" t="str">
        <x:v>Base de datos</x:v>
      </x:c>
    </x:row>
    <x:row r="27" ht="38" customHeight="1">
      <x:c r="A27" s="25" t="str">
        <x:v>UQ</x:v>
      </x:c>
      <x:c r="B27" s="25" t="str">
        <x:v>uqCalificacionUsuarioSolicitudCalificador</x:v>
      </x:c>
      <x:c r="C27" s="25" t="str">
        <x:v>idSolicitudServicio, idCalificador</x:v>
      </x:c>
      <x:c r="D27" s="23" t="str">
        <x:v>Cada participante califica una sola vez por solicitud.</x:v>
      </x:c>
      <x:c r="E27" s="25" t="str">
        <x:v>Base de datos</x:v>
      </x:c>
    </x:row>
    <x:row r="28" ht="38" customHeight="1">
      <x:c r="A28" s="26" t="str">
        <x:v>UQ</x:v>
      </x:c>
      <x:c r="B28" s="26" t="str">
        <x:v>uqCalificacionUsuarioSolicitudCalificado</x:v>
      </x:c>
      <x:c r="C28" s="26" t="str">
        <x:v>idSolicitudServicio, idCalificado</x:v>
      </x:c>
      <x:c r="D28" s="22" t="str">
        <x:v>Cada participante recibe como máximo una calificación por solicitud.</x:v>
      </x:c>
      <x:c r="E28" s="26" t="str">
        <x:v>Base de datos</x:v>
      </x:c>
    </x:row>
    <x:row r="29" ht="38" customHeight="1">
      <x:c r="A29" s="25" t="str">
        <x:v>CK</x:v>
      </x:c>
      <x:c r="B29" s="25" t="str">
        <x:v>ckCalificacionUsuarioPuntuacion</x:v>
      </x:c>
      <x:c r="C29" s="25" t="str">
        <x:v>puntuacion</x:v>
      </x:c>
      <x:c r="D29" s="23" t="str">
        <x:v>puntuacion BETWEEN 1 AND 5.</x:v>
      </x:c>
      <x:c r="E29" s="25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18:J18"/>
    <x:mergeCell ref="A24:J24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8" hidden="0" customWidth="1"/>
    <x:col min="3" max="3" width="22" hidden="0" customWidth="1"/>
    <x:col min="4" max="4" width="17" hidden="0" customWidth="1"/>
    <x:col min="5" max="5" width="15" hidden="0" customWidth="1"/>
    <x:col min="6" max="6" width="20" hidden="0" customWidth="1"/>
    <x:col min="7" max="7" width="31" hidden="0" customWidth="1"/>
    <x:col min="8" max="8" width="46" hidden="0" customWidth="1"/>
    <x:col min="9" max="9" width="17" hidden="0" customWidth="1"/>
    <x:col min="10" max="10" width="18" hidden="0" customWidth="1"/>
  </x:cols>
  <x:sheetData>
    <x:row r="1" ht="30" customHeight="1">
      <x:c r="A1" s="3" t="str">
        <x:v>ReporteUsuario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Reporte presentado por un participante sobre el otro y su posterior revisión administrativa.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89" t="str">
        <x:v>Bloque</x:v>
      </x:c>
      <x:c r="B4" s="35" t="str">
        <x:v>Confianza y moderación</x:v>
      </x:c>
      <x:c r="C4" s="36"/>
      <x:c r="D4" s="89" t="str">
        <x:v>Naturaleza</x:v>
      </x:c>
      <x:c r="E4" s="35" t="str">
        <x:v>Entidad transaccional</x:v>
      </x:c>
      <x:c r="F4" s="36"/>
      <x:c r="G4" s="89" t="str">
        <x:v>Clave primaria</x:v>
      </x:c>
      <x:c r="H4" s="40" t="str">
        <x:v>idReporteUsuario</x:v>
      </x:c>
      <x:c r="I4" s="89" t="str">
        <x:v>Atributos</x:v>
      </x:c>
      <x:c r="J4" s="40" t="n">
        <x:f>COUNTA(A9:A21)</x:f>
        <x:v>13</x:v>
      </x:c>
    </x:row>
    <x:row r="5" ht="30" customHeight="1">
      <x:c r="A5" s="89" t="str">
        <x:v>Relaciones</x:v>
      </x:c>
      <x:c r="B5" s="40" t="n">
        <x:f>COUNTA(A25:A28)</x:f>
        <x:v>4</x:v>
      </x:c>
      <x:c r="D5" s="89" t="str">
        <x:v>Restricciones BD</x:v>
      </x:c>
      <x:c r="E5" s="40" t="n">
        <x:f>COUNTA(B32:B33)</x:f>
        <x:v>2</x:v>
      </x:c>
      <x:c r="G5" s="49" t="str">
        <x:v>Las reglas de flujo y coherencia entre participantes se validan en la aplicación.</x:v>
      </x:c>
      <x:c r="H5" s="50"/>
      <x:c r="I5" s="50"/>
      <x:c r="J5" s="51"/>
    </x:row>
    <x:row r="7" ht="24" customHeight="1">
      <x:c r="A7" s="91" t="str">
        <x:v>Atributos</x:v>
      </x:c>
      <x:c r="B7" s="91"/>
      <x:c r="C7" s="91"/>
      <x:c r="D7" s="91"/>
      <x:c r="E7" s="91"/>
      <x:c r="F7" s="91"/>
      <x:c r="G7" s="91"/>
      <x:c r="H7" s="91"/>
      <x:c r="I7" s="91"/>
      <x:c r="J7" s="91"/>
    </x:row>
    <x:row r="8" ht="30" customHeight="1">
      <x:c r="A8" s="89" t="str">
        <x:v>Atributo</x:v>
      </x:c>
      <x:c r="B8" s="89" t="str">
        <x:v>Descripción</x:v>
      </x:c>
      <x:c r="C8" s="89" t="str">
        <x:v>Tipo PostgreSQL</x:v>
      </x:c>
      <x:c r="D8" s="89" t="str">
        <x:v>Clave</x:v>
      </x:c>
      <x:c r="E8" s="89" t="str">
        <x:v>Nulo</x:v>
      </x:c>
      <x:c r="F8" s="89" t="str">
        <x:v>Predeterminado</x:v>
      </x:c>
      <x:c r="G8" s="89" t="str">
        <x:v>Dominio o referencia</x:v>
      </x:c>
      <x:c r="H8" s="89" t="str">
        <x:v>Regla o validación</x:v>
      </x:c>
      <x:c r="I8" s="89" t="str">
        <x:v>Responsable</x:v>
      </x:c>
      <x:c r="J8" s="89" t="str">
        <x:v>Naturaleza</x:v>
      </x:c>
    </x:row>
    <x:row r="9" ht="46" customHeight="1">
      <x:c r="A9" s="21" t="str">
        <x:v>idReporteUsuario</x:v>
      </x:c>
      <x:c r="B9" s="21" t="str">
        <x:v>Identificador técnico del reporte.</x:v>
      </x:c>
      <x:c r="C9" s="24" t="str">
        <x:v>bigint</x:v>
      </x:c>
      <x:c r="D9" s="24" t="str">
        <x:v>PK</x:v>
      </x:c>
      <x:c r="E9" s="24" t="str">
        <x:v>NO</x:v>
      </x:c>
      <x:c r="F9" s="24" t="str">
        <x:v>IDENTITY</x:v>
      </x:c>
      <x:c r="G9" s="24" t="str">
        <x:v>—</x:v>
      </x:c>
      <x:c r="H9" s="21" t="str">
        <x:v>Valor único y positivo.</x:v>
      </x:c>
      <x:c r="I9" s="24" t="str">
        <x:v>Base de datos</x:v>
      </x:c>
      <x:c r="J9" s="24" t="str">
        <x:v>Técnico</x:v>
      </x:c>
    </x:row>
    <x:row r="10" ht="46" customHeight="1">
      <x:c r="A10" s="23" t="str">
        <x:v>idSolicitudServicio</x:v>
      </x:c>
      <x:c r="B10" s="23" t="str">
        <x:v>Solicitud que relaciona a las personas involucradas.</x:v>
      </x:c>
      <x:c r="C10" s="25" t="str">
        <x:v>bigint</x:v>
      </x:c>
      <x:c r="D10" s="25" t="str">
        <x:v>FK</x:v>
      </x:c>
      <x:c r="E10" s="25" t="str">
        <x:v>NO</x:v>
      </x:c>
      <x:c r="F10" s="25" t="str">
        <x:v>—</x:v>
      </x:c>
      <x:c r="G10" s="25" t="str">
        <x:v>SolicitudServicio.idSolicitudServicio</x:v>
      </x:c>
      <x:c r="H10" s="23" t="str">
        <x:v>—</x:v>
      </x:c>
      <x:c r="I10" s="25" t="str">
        <x:v>Base de datos</x:v>
      </x:c>
      <x:c r="J10" s="25" t="str">
        <x:v>Negocio</x:v>
      </x:c>
    </x:row>
    <x:row r="11" ht="46" customHeight="1">
      <x:c r="A11" s="22" t="str">
        <x:v>idReportante</x:v>
      </x:c>
      <x:c r="B11" s="22" t="str">
        <x:v>Usuario que presenta el reporte.</x:v>
      </x:c>
      <x:c r="C11" s="26" t="str">
        <x:v>bigint</x:v>
      </x:c>
      <x:c r="D11" s="26" t="str">
        <x:v>FK</x:v>
      </x:c>
      <x:c r="E11" s="26" t="str">
        <x:v>NO</x:v>
      </x:c>
      <x:c r="F11" s="26" t="str">
        <x:v>—</x:v>
      </x:c>
      <x:c r="G11" s="26" t="str">
        <x:v>Usuario.idUsuario</x:v>
      </x:c>
      <x:c r="H11" s="22" t="str">
        <x:v>—</x:v>
      </x:c>
      <x:c r="I11" s="26" t="str">
        <x:v>Base de datos</x:v>
      </x:c>
      <x:c r="J11" s="26" t="str">
        <x:v>Negocio</x:v>
      </x:c>
    </x:row>
    <x:row r="12" ht="46" customHeight="1">
      <x:c r="A12" s="23" t="str">
        <x:v>idReportado</x:v>
      </x:c>
      <x:c r="B12" s="23" t="str">
        <x:v>Usuario sobre quien se presenta el reporte.</x:v>
      </x:c>
      <x:c r="C12" s="25" t="str">
        <x:v>bigint</x:v>
      </x:c>
      <x:c r="D12" s="25" t="str">
        <x:v>FK</x:v>
      </x:c>
      <x:c r="E12" s="25" t="str">
        <x:v>NO</x:v>
      </x:c>
      <x:c r="F12" s="25" t="str">
        <x:v>—</x:v>
      </x:c>
      <x:c r="G12" s="25" t="str">
        <x:v>Usuario.idUsuario</x:v>
      </x:c>
      <x:c r="H12" s="23" t="str">
        <x:v>Debe ser diferente de idReportante.</x:v>
      </x:c>
      <x:c r="I12" s="25" t="str">
        <x:v>Aplicación</x:v>
      </x:c>
      <x:c r="J12" s="25" t="str">
        <x:v>Negocio</x:v>
      </x:c>
    </x:row>
    <x:row r="13" ht="46" customHeight="1">
      <x:c r="A13" s="22" t="str">
        <x:v>motivo</x:v>
      </x:c>
      <x:c r="B13" s="22" t="str">
        <x:v>Clasificación breve del motivo del reporte.</x:v>
      </x:c>
      <x:c r="C13" s="26" t="str">
        <x:v>varchar(120)</x:v>
      </x:c>
      <x:c r="D13" s="26" t="str">
        <x:v>—</x:v>
      </x:c>
      <x:c r="E13" s="26" t="str">
        <x:v>NO</x:v>
      </x:c>
      <x:c r="F13" s="26" t="str">
        <x:v>—</x:v>
      </x:c>
      <x:c r="G13" s="26" t="str">
        <x:v>—</x:v>
      </x:c>
      <x:c r="H13" s="22" t="str">
        <x:v>—</x:v>
      </x:c>
      <x:c r="I13" s="26" t="str">
        <x:v>Base de datos</x:v>
      </x:c>
      <x:c r="J13" s="26" t="str">
        <x:v>Negocio</x:v>
      </x:c>
    </x:row>
    <x:row r="14" ht="46" customHeight="1">
      <x:c r="A14" s="23" t="str">
        <x:v>descripcion</x:v>
      </x:c>
      <x:c r="B14" s="23" t="str">
        <x:v>Explicación detallada de lo ocurrido.</x:v>
      </x:c>
      <x:c r="C14" s="25" t="str">
        <x:v>text</x:v>
      </x:c>
      <x:c r="D14" s="25" t="str">
        <x:v>—</x:v>
      </x:c>
      <x:c r="E14" s="25" t="str">
        <x:v>NO</x:v>
      </x:c>
      <x:c r="F14" s="25" t="str">
        <x:v>—</x:v>
      </x:c>
      <x:c r="G14" s="25" t="str">
        <x:v>—</x:v>
      </x:c>
      <x:c r="H14" s="23" t="str">
        <x:v>—</x:v>
      </x:c>
      <x:c r="I14" s="25" t="str">
        <x:v>Base de datos</x:v>
      </x:c>
      <x:c r="J14" s="25" t="str">
        <x:v>Negocio</x:v>
      </x:c>
    </x:row>
    <x:row r="15" ht="46" customHeight="1">
      <x:c r="A15" s="22" t="str">
        <x:v>estado</x:v>
      </x:c>
      <x:c r="B15" s="22" t="str">
        <x:v>Etapa actual de la revisión administrativa.</x:v>
      </x:c>
      <x:c r="C15" s="26" t="str">
        <x:v>EstadoReporte</x:v>
      </x:c>
      <x:c r="D15" s="26" t="str">
        <x:v>—</x:v>
      </x:c>
      <x:c r="E15" s="26" t="str">
        <x:v>NO</x:v>
      </x:c>
      <x:c r="F15" s="26" t="str">
        <x:v>PENDIENTE</x:v>
      </x:c>
      <x:c r="G15" s="26" t="str">
        <x:v>Dominio EstadoReporte</x:v>
      </x:c>
      <x:c r="H15" s="22" t="str">
        <x:v>Debe pertenecer al dominio EstadoReporte; las transiciones se validan en la aplicación.</x:v>
      </x:c>
      <x:c r="I15" s="26" t="str">
        <x:v>Base de datos</x:v>
      </x:c>
      <x:c r="J15" s="26" t="str">
        <x:v>Negocio</x:v>
      </x:c>
    </x:row>
    <x:row r="16" ht="46" customHeight="1">
      <x:c r="A16" s="23" t="str">
        <x:v>resolucion</x:v>
      </x:c>
      <x:c r="B16" s="23" t="str">
        <x:v>Conclusión escrita por el administrador al cerrar la revisión.</x:v>
      </x:c>
      <x:c r="C16" s="25" t="str">
        <x:v>text</x:v>
      </x:c>
      <x:c r="D16" s="25" t="str">
        <x:v>—</x:v>
      </x:c>
      <x:c r="E16" s="25" t="str">
        <x:v>SÍ</x:v>
      </x:c>
      <x:c r="F16" s="25" t="str">
        <x:v>—</x:v>
      </x:c>
      <x:c r="G16" s="25" t="str">
        <x:v>—</x:v>
      </x:c>
      <x:c r="H16" s="23" t="str">
        <x:v>—</x:v>
      </x:c>
      <x:c r="I16" s="25" t="str">
        <x:v>—</x:v>
      </x:c>
      <x:c r="J16" s="25" t="str">
        <x:v>Negocio</x:v>
      </x:c>
    </x:row>
    <x:row r="17" ht="46" customHeight="1">
      <x:c r="A17" s="22" t="str">
        <x:v>idAdministradorResponsable</x:v>
      </x:c>
      <x:c r="B17" s="22" t="str">
        <x:v>Administrador asignado a revisar o resolver el reporte.</x:v>
      </x:c>
      <x:c r="C17" s="26" t="str">
        <x:v>bigint</x:v>
      </x:c>
      <x:c r="D17" s="26" t="str">
        <x:v>FK</x:v>
      </x:c>
      <x:c r="E17" s="26" t="str">
        <x:v>SÍ</x:v>
      </x:c>
      <x:c r="F17" s="26" t="str">
        <x:v>—</x:v>
      </x:c>
      <x:c r="G17" s="26" t="str">
        <x:v>Administrador.idAdministrador</x:v>
      </x:c>
      <x:c r="H17" s="22" t="str">
        <x:v>—</x:v>
      </x:c>
      <x:c r="I17" s="26" t="str">
        <x:v>Base de datos</x:v>
      </x:c>
      <x:c r="J17" s="26" t="str">
        <x:v>Negocio</x:v>
      </x:c>
    </x:row>
    <x:row r="18" ht="46" customHeight="1">
      <x:c r="A18" s="23" t="str">
        <x:v>medidaAplicada</x:v>
      </x:c>
      <x:c r="B18" s="23" t="str">
        <x:v>Medida administrativa registrada como resultado de la revisión del reporte.</x:v>
      </x:c>
      <x:c r="C18" s="25" t="str">
        <x:v>MedidaAdministrativa</x:v>
      </x:c>
      <x:c r="D18" s="25" t="str">
        <x:v>—</x:v>
      </x:c>
      <x:c r="E18" s="25" t="str">
        <x:v>NO</x:v>
      </x:c>
      <x:c r="F18" s="25" t="str">
        <x:v>NINGUNA</x:v>
      </x:c>
      <x:c r="G18" s="25" t="str">
        <x:v>Dominio MedidaAdministrativa</x:v>
      </x:c>
      <x:c r="H18" s="23" t="str">
        <x:v>Debe pertenecer al dominio definido.</x:v>
      </x:c>
      <x:c r="I18" s="25" t="str">
        <x:v>Base de datos</x:v>
      </x:c>
      <x:c r="J18" s="25" t="str">
        <x:v>Negocio</x:v>
      </x:c>
    </x:row>
    <x:row r="19" ht="46" customHeight="1">
      <x:c r="A19" s="22" t="str">
        <x:v>fechaCreacion</x:v>
      </x:c>
      <x:c r="B19" s="22" t="str">
        <x:v>Instante en que se presentó el reporte.</x:v>
      </x:c>
      <x:c r="C19" s="26" t="str">
        <x:v>timestamptz</x:v>
      </x:c>
      <x:c r="D19" s="26" t="str">
        <x:v>—</x:v>
      </x:c>
      <x:c r="E19" s="26" t="str">
        <x:v>NO</x:v>
      </x:c>
      <x:c r="F19" s="26" t="str">
        <x:v>CURRENT_TIMESTAMP</x:v>
      </x:c>
      <x:c r="G19" s="26" t="str">
        <x:v>—</x:v>
      </x:c>
      <x:c r="H19" s="22" t="str">
        <x:v>—</x:v>
      </x:c>
      <x:c r="I19" s="26" t="str">
        <x:v>Base de datos</x:v>
      </x:c>
      <x:c r="J19" s="26" t="str">
        <x:v>Auditoría</x:v>
      </x:c>
    </x:row>
    <x:row r="20" ht="46" customHeight="1">
      <x:c r="A20" s="23" t="str">
        <x:v>fechaResolucion</x:v>
      </x:c>
      <x:c r="B20" s="23" t="str">
        <x:v>Instante en que el reporte quedó resuelto.</x:v>
      </x:c>
      <x:c r="C20" s="25" t="str">
        <x:v>timestamptz</x:v>
      </x:c>
      <x:c r="D20" s="25" t="str">
        <x:v>—</x:v>
      </x:c>
      <x:c r="E20" s="25" t="str">
        <x:v>SÍ</x:v>
      </x:c>
      <x:c r="F20" s="25" t="str">
        <x:v>—</x:v>
      </x:c>
      <x:c r="G20" s="25" t="str">
        <x:v>estado</x:v>
      </x:c>
      <x:c r="H20" s="23" t="str">
        <x:v>Debe existir cuando el reporte esté resuelto.</x:v>
      </x:c>
      <x:c r="I20" s="25" t="str">
        <x:v>Aplicación</x:v>
      </x:c>
      <x:c r="J20" s="25" t="str">
        <x:v>Auditoría</x:v>
      </x:c>
    </x:row>
    <x:row r="21" ht="46" customHeight="1">
      <x:c r="A21" s="22" t="str">
        <x:v>fechaActualizacion</x:v>
      </x:c>
      <x:c r="B21" s="22" t="str">
        <x:v>Instante de la última modificación del reporte.</x:v>
      </x:c>
      <x:c r="C21" s="26" t="str">
        <x:v>timestamptz</x:v>
      </x:c>
      <x:c r="D21" s="26" t="str">
        <x:v>—</x:v>
      </x:c>
      <x:c r="E21" s="26" t="str">
        <x:v>NO</x:v>
      </x:c>
      <x:c r="F21" s="26" t="str">
        <x:v>CURRENT_TIMESTAMP</x:v>
      </x:c>
      <x:c r="G21" s="26" t="str">
        <x:v>—</x:v>
      </x:c>
      <x:c r="H21" s="22" t="str">
        <x:v>La aplicación actualiza este valor cada vez que modifica el registro.</x:v>
      </x:c>
      <x:c r="I21" s="26" t="str">
        <x:v>Aplicación</x:v>
      </x:c>
      <x:c r="J21" s="26" t="str">
        <x:v>Auditoría</x:v>
      </x:c>
    </x:row>
    <x:row r="23" ht="24" customHeight="1">
      <x:c r="A23" s="91" t="str">
        <x:v>Relaciones directas</x:v>
      </x:c>
      <x:c r="B23" s="91"/>
      <x:c r="C23" s="91"/>
      <x:c r="D23" s="91"/>
      <x:c r="E23" s="91"/>
      <x:c r="F23" s="91"/>
      <x:c r="G23" s="91"/>
      <x:c r="H23" s="91"/>
      <x:c r="I23" s="91"/>
      <x:c r="J23" s="91"/>
    </x:row>
    <x:row r="24" ht="30" customHeight="1">
      <x:c r="A24" s="89" t="str">
        <x:v>Relación</x:v>
      </x:c>
      <x:c r="B24" s="89" t="str">
        <x:v>Origen</x:v>
      </x:c>
      <x:c r="C24" s="89" t="str">
        <x:v>Destino</x:v>
      </x:c>
      <x:c r="D24" s="89" t="str">
        <x:v>Cardinalidad</x:v>
      </x:c>
      <x:c r="E24" s="89" t="str">
        <x:v>FK en destino</x:v>
      </x:c>
      <x:c r="F24" s="89" t="str">
        <x:v>ON DELETE</x:v>
      </x:c>
      <x:c r="G24" s="89" t="str">
        <x:v>Significado</x:v>
      </x:c>
    </x:row>
    <x:row r="25" ht="42" customHeight="1">
      <x:c r="A25" s="21" t="str">
        <x:v>solicitudServicioReporte</x:v>
      </x:c>
      <x:c r="B25" s="24" t="str">
        <x:v>SolicitudServicio</x:v>
      </x:c>
      <x:c r="C25" s="24" t="str">
        <x:v>ReporteUsuario</x:v>
      </x:c>
      <x:c r="D25" s="24" t="str">
        <x:v>1 a 0..2</x:v>
      </x:c>
      <x:c r="E25" s="24" t="str">
        <x:v>ReporteUsuario.idSolicitudServicio</x:v>
      </x:c>
      <x:c r="F25" s="24" t="str">
        <x:v>RESTRICT</x:v>
      </x:c>
      <x:c r="G25" s="21" t="str">
        <x:v>Cada participante puede presentar un reporte relacionado con la solicitud.</x:v>
      </x:c>
    </x:row>
    <x:row r="26" ht="42" customHeight="1">
      <x:c r="A26" s="23" t="str">
        <x:v>usuarioReportePresentado</x:v>
      </x:c>
      <x:c r="B26" s="25" t="str">
        <x:v>Usuario</x:v>
      </x:c>
      <x:c r="C26" s="25" t="str">
        <x:v>ReporteUsuario</x:v>
      </x:c>
      <x:c r="D26" s="25" t="str">
        <x:v>1 a 0..N</x:v>
      </x:c>
      <x:c r="E26" s="25" t="str">
        <x:v>ReporteUsuario.idReportante</x:v>
      </x:c>
      <x:c r="F26" s="25" t="str">
        <x:v>RESTRICT</x:v>
      </x:c>
      <x:c r="G26" s="23" t="str">
        <x:v>Un usuario puede presentar varios reportes.</x:v>
      </x:c>
    </x:row>
    <x:row r="27" ht="42" customHeight="1">
      <x:c r="A27" s="22" t="str">
        <x:v>usuarioReporteRecibido</x:v>
      </x:c>
      <x:c r="B27" s="26" t="str">
        <x:v>Usuario</x:v>
      </x:c>
      <x:c r="C27" s="26" t="str">
        <x:v>ReporteUsuario</x:v>
      </x:c>
      <x:c r="D27" s="26" t="str">
        <x:v>1 a 0..N</x:v>
      </x:c>
      <x:c r="E27" s="26" t="str">
        <x:v>ReporteUsuario.idReportado</x:v>
      </x:c>
      <x:c r="F27" s="26" t="str">
        <x:v>RESTRICT</x:v>
      </x:c>
      <x:c r="G27" s="22" t="str">
        <x:v>Un usuario puede ser reportado varias veces.</x:v>
      </x:c>
    </x:row>
    <x:row r="28" ht="42" customHeight="1">
      <x:c r="A28" s="23" t="str">
        <x:v>administradorReporteUsuario</x:v>
      </x:c>
      <x:c r="B28" s="25" t="str">
        <x:v>Administrador</x:v>
      </x:c>
      <x:c r="C28" s="25" t="str">
        <x:v>ReporteUsuario</x:v>
      </x:c>
      <x:c r="D28" s="25" t="str">
        <x:v>1 a 0..N; reporte 0..1</x:v>
      </x:c>
      <x:c r="E28" s="25" t="str">
        <x:v>ReporteUsuario.idAdministradorResponsable</x:v>
      </x:c>
      <x:c r="F28" s="25" t="str">
        <x:v>RESTRICT</x:v>
      </x:c>
      <x:c r="G28" s="23" t="str">
        <x:v>Un reporte puede asignarse a un administrador responsable.</x:v>
      </x:c>
    </x:row>
    <x:row r="30" ht="24" customHeight="1">
      <x:c r="A30" s="91" t="str">
        <x:v>Restricciones implementadas en la base de datos</x:v>
      </x:c>
      <x:c r="B30" s="91"/>
      <x:c r="C30" s="91"/>
      <x:c r="D30" s="91"/>
      <x:c r="E30" s="91"/>
      <x:c r="F30" s="91"/>
      <x:c r="G30" s="91"/>
      <x:c r="H30" s="91"/>
      <x:c r="I30" s="91"/>
      <x:c r="J30" s="91"/>
    </x:row>
    <x:row r="31" ht="30" customHeight="1">
      <x:c r="A31" s="89" t="str">
        <x:v>Tipo</x:v>
      </x:c>
      <x:c r="B31" s="89" t="str">
        <x:v>Nombre</x:v>
      </x:c>
      <x:c r="C31" s="89" t="str">
        <x:v>Columnas</x:v>
      </x:c>
      <x:c r="D31" s="89" t="str">
        <x:v>Regla</x:v>
      </x:c>
      <x:c r="E31" s="89" t="str">
        <x:v>Capa</x:v>
      </x:c>
    </x:row>
    <x:row r="32" ht="38" customHeight="1">
      <x:c r="A32" s="24" t="str">
        <x:v>PK</x:v>
      </x:c>
      <x:c r="B32" s="24" t="str">
        <x:v>pkReporteUsuario</x:v>
      </x:c>
      <x:c r="C32" s="24" t="str">
        <x:v>idReporteUsuario</x:v>
      </x:c>
      <x:c r="D32" s="21" t="str">
        <x:v>Identificador único del reporte.</x:v>
      </x:c>
      <x:c r="E32" s="24" t="str">
        <x:v>Base de datos</x:v>
      </x:c>
    </x:row>
    <x:row r="33" ht="38" customHeight="1">
      <x:c r="A33" s="25" t="str">
        <x:v>UQ</x:v>
      </x:c>
      <x:c r="B33" s="25" t="str">
        <x:v>uqReporteUsuarioSolicitudReportante</x:v>
      </x:c>
      <x:c r="C33" s="25" t="str">
        <x:v>idSolicitudServicio, idReportante</x:v>
      </x:c>
      <x:c r="D33" s="23" t="str">
        <x:v>Cada participante presenta como máximo un reporte por solicitud.</x:v>
      </x:c>
      <x:c r="E33" s="25" t="str">
        <x:v>Base de datos</x:v>
      </x:c>
    </x:row>
  </x:sheetData>
  <x:mergeCells>
    <x:mergeCell ref="A1:J1"/>
    <x:mergeCell ref="A2:J2"/>
    <x:mergeCell ref="B4:C4"/>
    <x:mergeCell ref="E4:F4"/>
    <x:mergeCell ref="G5:J5"/>
    <x:mergeCell ref="A7:J7"/>
    <x:mergeCell ref="A23:J23"/>
    <x:mergeCell ref="A30:J30"/>
  </x:mergeCells>
  <x:pageMargins left="0.7" right="0.7" top="0.75" bottom="0.75" header="0.3" footer="0.3"/>
</x:worksheet>
</file>